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8220" activeTab="4"/>
  </bookViews>
  <sheets>
    <sheet name="A̳ssets" sheetId="1" r:id="rId1"/>
    <sheet name="B̳ases" sheetId="2" r:id="rId2"/>
    <sheet name="Planilha1" sheetId="5" r:id="rId3"/>
    <sheet name="C̳álculos" sheetId="3" r:id="rId4"/>
    <sheet name="D̳ashboard" sheetId="4" r:id="rId5"/>
  </sheets>
  <definedNames>
    <definedName name="SegmentaçãodeDados_Subscription_Type">#N/A</definedName>
  </definedNames>
  <calcPr calcId="162913"/>
  <pivotCaches>
    <pivotCache cacheId="2" r:id="rId6"/>
  </pivotCaches>
  <fileRecoveryPr repairLoad="1"/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3" l="1"/>
  <c r="F17" i="3"/>
</calcChain>
</file>

<file path=xl/sharedStrings.xml><?xml version="1.0" encoding="utf-8"?>
<sst xmlns="http://schemas.openxmlformats.org/spreadsheetml/2006/main" count="2206" uniqueCount="319">
  <si>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</si>
  <si>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</si>
  <si>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</si>
  <si>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</si>
  <si>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</si>
  <si>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</si>
  <si>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</si>
  <si>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</si>
  <si>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</si>
  <si>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</si>
  <si>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</si>
  <si>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</si>
  <si>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</si>
  <si>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</si>
  <si>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</si>
  <si>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</si>
  <si>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</si>
  <si>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</si>
  <si>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</si>
  <si>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</si>
  <si>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</si>
  <si>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</si>
  <si>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</si>
  <si>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</si>
  <si>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</si>
  <si>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</si>
  <si>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</si>
  <si>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</si>
  <si>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</si>
  <si>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</si>
  <si>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</si>
  <si>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</si>
  <si>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</si>
  <si>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</si>
  <si>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</si>
  <si>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</si>
  <si>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</si>
  <si>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</si>
  <si>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</si>
  <si>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</si>
  <si>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</si>
  <si>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</si>
  <si>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</si>
  <si>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</si>
  <si>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</si>
  <si>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</si>
  <si>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</si>
  <si>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</si>
  <si>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</si>
  <si>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</si>
  <si>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</si>
  <si>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</si>
  <si>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</si>
  <si>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</si>
  <si>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</si>
  <si>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</si>
  <si>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</si>
  <si>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</si>
  <si>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</si>
  <si>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</si>
  <si>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</si>
  <si>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</si>
  <si>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</si>
  <si>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</si>
  <si>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</si>
  <si>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</si>
  <si>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</si>
  <si>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</si>
  <si>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</si>
  <si>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</si>
  <si>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</si>
  <si>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</si>
  <si>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</si>
  <si>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</si>
  <si>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</si>
  <si>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</si>
  <si>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</si>
  <si>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</si>
  <si>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</si>
  <si>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</si>
  <si>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</si>
  <si>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</si>
  <si>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</si>
  <si>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</si>
  <si>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</si>
  <si>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</si>
  <si>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</si>
  <si>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</si>
  <si>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</si>
  <si>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</si>
  <si>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</si>
  <si>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</si>
  <si>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</si>
  <si>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</si>
  <si>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</si>
  <si>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</si>
  <si>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</si>
  <si>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</si>
  <si>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</si>
  <si>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</si>
  <si>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</si>
  <si>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</si>
  <si>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</si>
  <si>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</si>
  <si>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</si>
  <si>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</si>
  <si>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</si>
  <si>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</si>
  <si>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</si>
  <si>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</si>
  <si>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</si>
  <si>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</si>
  <si>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</si>
  <si>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</si>
  <si>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</si>
  <si>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</si>
  <si>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</si>
  <si>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</si>
  <si>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</si>
  <si>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</si>
  <si>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</si>
  <si>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</si>
  <si>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</si>
  <si>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</si>
  <si>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</si>
  <si>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</si>
  <si>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</si>
  <si>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</si>
  <si>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</si>
  <si>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</si>
  <si>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</si>
  <si>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</si>
  <si>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</si>
  <si>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</si>
  <si>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</si>
  <si>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</si>
  <si>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</si>
  <si>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</si>
  <si>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</si>
  <si>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</si>
  <si>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</si>
  <si>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</si>
  <si>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</si>
  <si>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</si>
  <si>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</si>
  <si>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</si>
  <si>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</si>
  <si>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</si>
  <si>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</si>
  <si>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</si>
  <si>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</si>
  <si>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</si>
  <si>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</si>
  <si>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</si>
  <si>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</si>
  <si>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</si>
  <si>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</si>
  <si>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</si>
  <si>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</si>
  <si>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</si>
  <si>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</si>
  <si>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</si>
  <si>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</si>
  <si>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</si>
  <si>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</si>
  <si>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</si>
  <si>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</si>
  <si>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</si>
  <si>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</si>
  <si>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</si>
  <si>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</si>
  <si>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</si>
  <si>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</si>
  <si>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</si>
  <si>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</si>
  <si>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</si>
  <si>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</si>
  <si>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</si>
  <si>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</si>
  <si>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</si>
  <si>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</si>
  <si>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</si>
  <si>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</si>
  <si>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</si>
  <si>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</si>
  <si>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</si>
  <si>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</si>
  <si>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</si>
  <si>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</si>
  <si>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</si>
  <si>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</si>
  <si>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</si>
  <si>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</si>
  <si>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</si>
  <si>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</si>
  <si>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</si>
  <si>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</si>
  <si>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</si>
  <si>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</si>
  <si>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</si>
  <si>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</si>
  <si>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</si>
  <si>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</si>
  <si>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</si>
  <si>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</si>
  <si>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</si>
  <si>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</si>
  <si>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</si>
  <si>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</si>
  <si>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</si>
  <si>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</si>
  <si>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</si>
  <si>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</si>
  <si>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</si>
  <si>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</si>
  <si>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</si>
  <si>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</si>
  <si>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</si>
  <si>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</si>
  <si>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</si>
  <si>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</si>
  <si>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</si>
  <si>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</si>
  <si>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</si>
  <si>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</si>
  <si>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</si>
  <si>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</si>
  <si>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</si>
  <si>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</si>
  <si>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</si>
  <si>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</si>
  <si>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</si>
  <si>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</si>
  <si>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</si>
  <si>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</si>
  <si>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</si>
  <si>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</si>
  <si>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</si>
  <si>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</si>
  <si>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</si>
  <si>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</si>
  <si>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</si>
  <si>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</si>
  <si>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</si>
  <si>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</si>
  <si>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</si>
  <si>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</si>
  <si>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</si>
  <si>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</si>
  <si>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</si>
  <si>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</si>
  <si>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</si>
  <si>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</si>
  <si>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</si>
  <si>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</si>
  <si>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</si>
  <si>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</si>
  <si>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</si>
  <si>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</si>
  <si>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</si>
  <si>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</si>
  <si>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</si>
  <si>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</si>
  <si>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</si>
  <si>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</si>
  <si>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</si>
  <si>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</si>
  <si>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</si>
  <si>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</si>
  <si>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</si>
  <si>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</si>
  <si>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</si>
  <si>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</si>
  <si>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</si>
  <si>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</si>
  <si>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</si>
  <si>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</si>
  <si>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</si>
  <si>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</si>
  <si>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</si>
  <si>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</si>
  <si>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</si>
  <si>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</si>
  <si>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</si>
  <si>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</si>
  <si>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</si>
  <si>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</si>
  <si>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</si>
  <si>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</si>
  <si>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</si>
  <si>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</si>
  <si>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</si>
  <si>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</si>
  <si>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</si>
  <si>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</si>
  <si>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</si>
  <si>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</si>
  <si>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</si>
  <si>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</si>
  <si>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</si>
  <si>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</si>
  <si>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</si>
  <si>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</si>
  <si>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</si>
  <si>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</si>
  <si>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</si>
  <si>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</si>
  <si>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</si>
  <si>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</si>
  <si>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</si>
  <si>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</si>
  <si>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</si>
  <si>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</si>
  <si>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Soma de Total Value</t>
  </si>
  <si>
    <t>Total Geral</t>
  </si>
  <si>
    <t>XBOX GAME PASS SUBSCRIPTIONS SALES</t>
  </si>
  <si>
    <t>Soma de EA Play Season Pass</t>
  </si>
  <si>
    <t>Soma de Minecraft Season Pass Price</t>
  </si>
  <si>
    <t>Contagem de Subscription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</si>
</sst>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Segoe UI"/>
    </font>
    <font>
      <b/>
      <sz val="15"/>
      <color rgb="FF2AE6B1"/>
      <name val="Segoe UI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4" fillId="0" borderId="0" xfId="0" applyFont="1"/>
    <xf numFmtId="0" fontId="5" fillId="0" borderId="2" xfId="1" applyFont="1" applyFill="1" applyBorder="1"/>
    <xf numFmtId="0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7">
    <dxf>
      <numFmt numFmtId="19" formatCode="dd/mm/yyyy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  <name val="Segoe UI"/>
        <scheme val="none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XBOX" pivot="0" table="0" count="10">
      <tableStyleElement type="wholeTable" dxfId="2"/>
      <tableStyleElement type="headerRow" dxfId="1"/>
    </tableStyle>
  </tableStyles>
  <colors>
    <mruColors>
      <color rgb="FF9BC848"/>
      <color rgb="FF5BF6A8"/>
      <color rgb="FF2AE6B1"/>
      <color rgb="FFE5F1CF"/>
      <color rgb="FFB5E6A2"/>
      <color rgb="FF22C55E"/>
      <color rgb="FFE8E6E9"/>
      <color rgb="FF000000"/>
      <color rgb="FFE0E0E0"/>
      <color rgb="FFEDEDED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9BC848"/>
              </stop>
              <stop position="1">
                <color rgb="FFE5F1C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9BC848"/>
              </stop>
              <stop position="1">
                <color rgb="FFE5F1C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9BC848"/>
              </stop>
              <stop position="1">
                <color rgb="FFE5F1C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9BC848"/>
              </stop>
              <stop position="1">
                <color rgb="FFE5F1C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rgb="FF5BF6A8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XBOX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[Criando um Dashboard de Vendas do Xbox com Excel.xlsx]C̳álculos!Tabela dinâmica1</c:name>
    <c:fmtId val="3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5BF6A8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5BF6A8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5BF6A8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C̳álculos!$C$5:$C$7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C̳álculos!$D$5:$D$7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3A-42A2-8F9F-9E9EBB215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3051504"/>
        <c:axId val="1083052752"/>
      </c:barChart>
      <c:catAx>
        <c:axId val="1083051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083052752"/>
        <c:crosses val="autoZero"/>
        <c:auto val="1"/>
        <c:lblAlgn val="ctr"/>
        <c:lblOffset val="100"/>
        <c:noMultiLvlLbl val="0"/>
      </c:catAx>
      <c:valAx>
        <c:axId val="108305275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8305150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[Criando um Dashboard de Vendas do Xbox com Excel.xlsx]C̳álculos!Tabela dinâmica4</c:name>
    <c:fmtId val="35"/>
  </c:pivotSource>
  <c:chart>
    <c:autoTitleDeleted val="1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3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5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C̳álculos!$D$33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AA-4564-A7AE-205D46118A70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AA-4564-A7AE-205D46118A70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AA-4564-A7AE-205D46118A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C̳álculos!$C$34:$C$37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C̳álculos!$D$34:$D$37</c:f>
              <c:numCache>
                <c:formatCode>General</c:formatCode>
                <c:ptCount val="3"/>
                <c:pt idx="0">
                  <c:v>28</c:v>
                </c:pt>
                <c:pt idx="1">
                  <c:v>24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AA-4564-A7AE-205D46118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4868683084404211"/>
          <c:y val="0.38135884709284951"/>
          <c:w val="0.11006732265844009"/>
          <c:h val="0.2372823058143009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12" Type="http://schemas.openxmlformats.org/officeDocument/2006/relationships/chart" Target="../charts/chart2.xml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11" Type="http://schemas.openxmlformats.org/officeDocument/2006/relationships/chart" Target="../charts/chart1.xml"/><Relationship Id="rId10" Type="http://schemas.openxmlformats.org/officeDocument/2006/relationships/image" Target="../media/image10.sv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=""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223841</xdr:colOff>
      <xdr:row>31</xdr:row>
      <xdr:rowOff>57151</xdr:rowOff>
    </xdr:from>
    <xdr:to>
      <xdr:col>16</xdr:col>
      <xdr:colOff>411067</xdr:colOff>
      <xdr:row>56</xdr:row>
      <xdr:rowOff>47624</xdr:rowOff>
    </xdr:to>
    <xdr:sp macro="" textlink="">
      <xdr:nvSpPr>
        <xdr:cNvPr id="29" name="Retângulo Arredondado 28"/>
        <xdr:cNvSpPr/>
      </xdr:nvSpPr>
      <xdr:spPr>
        <a:xfrm>
          <a:off x="2247904" y="6212682"/>
          <a:ext cx="9938444" cy="4455317"/>
        </a:xfrm>
        <a:prstGeom prst="roundRect">
          <a:avLst>
            <a:gd name="adj" fmla="val 5417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600074</xdr:colOff>
      <xdr:row>1</xdr:row>
      <xdr:rowOff>128587</xdr:rowOff>
    </xdr:from>
    <xdr:to>
      <xdr:col>0</xdr:col>
      <xdr:colOff>1276349</xdr:colOff>
      <xdr:row>2</xdr:row>
      <xdr:rowOff>309563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8D9E263-8317-4AF1-8B37-1DABBCEF3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48" t="15700" r="71020" b="17940"/>
        <a:stretch>
          <a:fillRect/>
        </a:stretch>
      </xdr:blipFill>
      <xdr:spPr>
        <a:xfrm>
          <a:off x="600074" y="307181"/>
          <a:ext cx="676275" cy="681038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</xdr:row>
      <xdr:rowOff>88107</xdr:rowOff>
    </xdr:from>
    <xdr:to>
      <xdr:col>0</xdr:col>
      <xdr:colOff>1940718</xdr:colOff>
      <xdr:row>15</xdr:row>
      <xdr:rowOff>152401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135982"/>
              <a:ext cx="1940718" cy="1314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oneCellAnchor>
    <xdr:from>
      <xdr:col>4</xdr:col>
      <xdr:colOff>297214</xdr:colOff>
      <xdr:row>9</xdr:row>
      <xdr:rowOff>47625</xdr:rowOff>
    </xdr:from>
    <xdr:ext cx="222565" cy="252185"/>
    <xdr:sp macro="" textlink="D̳ashboard!$F$17">
      <xdr:nvSpPr>
        <xdr:cNvPr id="8" name="CaixaDeTexto 7"/>
        <xdr:cNvSpPr txBox="1"/>
      </xdr:nvSpPr>
      <xdr:spPr>
        <a:xfrm>
          <a:off x="3976245" y="2274094"/>
          <a:ext cx="222565" cy="252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75E84242-EB67-48C1-86DF-88BDEAC29586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 </a:t>
          </a:fld>
          <a:endParaRPr lang="pt-BR" sz="1100"/>
        </a:p>
      </xdr:txBody>
    </xdr:sp>
    <xdr:clientData/>
  </xdr:oneCellAnchor>
  <xdr:twoCellAnchor>
    <xdr:from>
      <xdr:col>1</xdr:col>
      <xdr:colOff>250031</xdr:colOff>
      <xdr:row>4</xdr:row>
      <xdr:rowOff>0</xdr:rowOff>
    </xdr:from>
    <xdr:to>
      <xdr:col>8</xdr:col>
      <xdr:colOff>488156</xdr:colOff>
      <xdr:row>11</xdr:row>
      <xdr:rowOff>169069</xdr:rowOff>
    </xdr:to>
    <xdr:grpSp>
      <xdr:nvGrpSpPr>
        <xdr:cNvPr id="15" name="Agrupar 14"/>
        <xdr:cNvGrpSpPr/>
      </xdr:nvGrpSpPr>
      <xdr:grpSpPr>
        <a:xfrm>
          <a:off x="2274094" y="1285875"/>
          <a:ext cx="4655343" cy="1466850"/>
          <a:chOff x="2274094" y="1285875"/>
          <a:chExt cx="4655343" cy="1466850"/>
        </a:xfrm>
      </xdr:grpSpPr>
      <xdr:sp macro="" textlink="">
        <xdr:nvSpPr>
          <xdr:cNvPr id="3" name="Retângulo Arredondado 2"/>
          <xdr:cNvSpPr/>
        </xdr:nvSpPr>
        <xdr:spPr>
          <a:xfrm>
            <a:off x="2297906" y="1297781"/>
            <a:ext cx="4619625" cy="1345406"/>
          </a:xfrm>
          <a:prstGeom prst="roundRect">
            <a:avLst>
              <a:gd name="adj" fmla="val 13127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endParaRPr>
          </a:p>
        </xdr:txBody>
      </xdr:sp>
      <xdr:sp macro="" textlink="C̳álculos!F17">
        <xdr:nvSpPr>
          <xdr:cNvPr id="9" name="Retângulo Arredondado 8"/>
          <xdr:cNvSpPr/>
        </xdr:nvSpPr>
        <xdr:spPr>
          <a:xfrm>
            <a:off x="3831432" y="1797842"/>
            <a:ext cx="3026570" cy="723899"/>
          </a:xfrm>
          <a:prstGeom prst="roundRect">
            <a:avLst>
              <a:gd name="adj" fmla="val 13127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69ED993-B6B0-4888-ADEF-25B79E172AA0}" type="TxLink">
              <a:rPr lang="en-US" sz="2800" b="1" i="0" u="none" strike="noStrike" cap="none" spc="0">
                <a:ln w="0">
                  <a:noFill/>
                </a:ln>
                <a:solidFill>
                  <a:srgbClr val="5BF6A8"/>
                </a:solidFill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R$ 990,00 </a:t>
            </a:fld>
            <a:endParaRPr lang="en-US" sz="2800" b="1" cap="none" spc="0">
              <a:ln w="0">
                <a:noFill/>
              </a:ln>
              <a:solidFill>
                <a:srgbClr val="5BF6A8"/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34E653DD-5BBB-B7D9-BDBD-2F59393458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59905" y="1600200"/>
            <a:ext cx="1371600" cy="1152525"/>
          </a:xfrm>
          <a:prstGeom prst="rect">
            <a:avLst/>
          </a:prstGeom>
        </xdr:spPr>
      </xdr:pic>
      <xdr:sp macro="" textlink="">
        <xdr:nvSpPr>
          <xdr:cNvPr id="13" name="Arredondar Retângulo no Mesmo Canto Lateral 12"/>
          <xdr:cNvSpPr/>
        </xdr:nvSpPr>
        <xdr:spPr>
          <a:xfrm>
            <a:off x="2274094" y="1285875"/>
            <a:ext cx="4655343" cy="452437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9</xdr:col>
      <xdr:colOff>295275</xdr:colOff>
      <xdr:row>4</xdr:row>
      <xdr:rowOff>0</xdr:rowOff>
    </xdr:from>
    <xdr:to>
      <xdr:col>16</xdr:col>
      <xdr:colOff>307181</xdr:colOff>
      <xdr:row>11</xdr:row>
      <xdr:rowOff>59531</xdr:rowOff>
    </xdr:to>
    <xdr:grpSp>
      <xdr:nvGrpSpPr>
        <xdr:cNvPr id="24" name="Agrupar 23"/>
        <xdr:cNvGrpSpPr/>
      </xdr:nvGrpSpPr>
      <xdr:grpSpPr>
        <a:xfrm>
          <a:off x="7427119" y="1285875"/>
          <a:ext cx="4655343" cy="1357312"/>
          <a:chOff x="7427119" y="1285875"/>
          <a:chExt cx="4655343" cy="1357312"/>
        </a:xfrm>
      </xdr:grpSpPr>
      <xdr:sp macro="" textlink="">
        <xdr:nvSpPr>
          <xdr:cNvPr id="17" name="Retângulo Arredondado 16"/>
          <xdr:cNvSpPr/>
        </xdr:nvSpPr>
        <xdr:spPr>
          <a:xfrm>
            <a:off x="7450931" y="1297781"/>
            <a:ext cx="4619625" cy="1345406"/>
          </a:xfrm>
          <a:prstGeom prst="roundRect">
            <a:avLst>
              <a:gd name="adj" fmla="val 13127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endParaRPr>
          </a:p>
        </xdr:txBody>
      </xdr:sp>
      <xdr:sp macro="" textlink="C̳álculos!F27">
        <xdr:nvSpPr>
          <xdr:cNvPr id="18" name="Retângulo Arredondado 17"/>
          <xdr:cNvSpPr/>
        </xdr:nvSpPr>
        <xdr:spPr>
          <a:xfrm>
            <a:off x="8984457" y="1797842"/>
            <a:ext cx="3026570" cy="723899"/>
          </a:xfrm>
          <a:prstGeom prst="roundRect">
            <a:avLst>
              <a:gd name="adj" fmla="val 13127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E4AC87F-2FE2-49F2-8F90-6D1EB803B52C}" type="TxLink">
              <a:rPr lang="en-US" sz="2800" b="1" i="0" u="none" strike="noStrike" cap="none" spc="0">
                <a:ln w="0">
                  <a:noFill/>
                </a:ln>
                <a:solidFill>
                  <a:srgbClr val="5BF6A8"/>
                </a:solidFill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 R$ 1.140,00 </a:t>
            </a:fld>
            <a:endParaRPr lang="en-US" sz="6000" b="1" cap="none" spc="0">
              <a:ln w="0">
                <a:noFill/>
              </a:ln>
              <a:solidFill>
                <a:srgbClr val="5BF6A8"/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0" name="Arredondar Retângulo no Mesmo Canto Lateral 19"/>
          <xdr:cNvSpPr/>
        </xdr:nvSpPr>
        <xdr:spPr>
          <a:xfrm>
            <a:off x="7427119" y="1285875"/>
            <a:ext cx="4655343" cy="452437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TOTAL SUBSCRIPTIONS MINECRAFT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A71E6AF1-ADEE-EB3B-0380-7B4EF5640C97}"/>
              </a:ext>
            </a:extLst>
          </xdr:cNvPr>
          <xdr:cNvGrpSpPr/>
        </xdr:nvGrpSpPr>
        <xdr:grpSpPr>
          <a:xfrm>
            <a:off x="8048624" y="1893093"/>
            <a:ext cx="1369219" cy="559595"/>
            <a:chOff x="3495675" y="5400674"/>
            <a:chExt cx="1549476" cy="752476"/>
          </a:xfrm>
        </xdr:grpSpPr>
        <xdr:pic>
          <xdr:nvPicPr>
            <xdr:cNvPr id="22" name="Imagem 21">
              <a:extLst>
                <a:ext uri="{FF2B5EF4-FFF2-40B4-BE49-F238E27FC236}">
                  <a16:creationId xmlns:a16="http://schemas.microsoft.com/office/drawing/2014/main" id="{B0CF571B-D3D1-7AD8-F100-6A3A279BE5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3" name="Gráfico 13">
              <a:extLst>
                <a:ext uri="{FF2B5EF4-FFF2-40B4-BE49-F238E27FC236}">
                  <a16:creationId xmlns:a16="http://schemas.microsoft.com/office/drawing/2014/main" id="{A1F40A76-E1BB-A23E-B668-9F79247AB0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=""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200025</xdr:colOff>
      <xdr:row>13</xdr:row>
      <xdr:rowOff>9524</xdr:rowOff>
    </xdr:from>
    <xdr:to>
      <xdr:col>16</xdr:col>
      <xdr:colOff>440531</xdr:colOff>
      <xdr:row>29</xdr:row>
      <xdr:rowOff>40481</xdr:rowOff>
    </xdr:to>
    <xdr:grpSp>
      <xdr:nvGrpSpPr>
        <xdr:cNvPr id="27" name="Agrupar 26"/>
        <xdr:cNvGrpSpPr/>
      </xdr:nvGrpSpPr>
      <xdr:grpSpPr>
        <a:xfrm>
          <a:off x="2224088" y="2950368"/>
          <a:ext cx="9991724" cy="2888457"/>
          <a:chOff x="2224088" y="2950368"/>
          <a:chExt cx="9991724" cy="2888457"/>
        </a:xfrm>
      </xdr:grpSpPr>
      <xdr:sp macro="" textlink="">
        <xdr:nvSpPr>
          <xdr:cNvPr id="4" name="Retângulo Arredondado 3"/>
          <xdr:cNvSpPr/>
        </xdr:nvSpPr>
        <xdr:spPr>
          <a:xfrm>
            <a:off x="2238379" y="2976564"/>
            <a:ext cx="9938444" cy="2857500"/>
          </a:xfrm>
          <a:prstGeom prst="roundRect">
            <a:avLst>
              <a:gd name="adj" fmla="val 5417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5" name="Gráfico 4"/>
          <xdr:cNvGraphicFramePr>
            <a:graphicFrameLocks/>
          </xdr:cNvGraphicFramePr>
        </xdr:nvGraphicFramePr>
        <xdr:xfrm>
          <a:off x="2381250" y="3381375"/>
          <a:ext cx="9572625" cy="24574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sp macro="" textlink="">
        <xdr:nvSpPr>
          <xdr:cNvPr id="25" name="Arredondar Retângulo no Mesmo Canto Lateral 24"/>
          <xdr:cNvSpPr/>
        </xdr:nvSpPr>
        <xdr:spPr>
          <a:xfrm>
            <a:off x="2224088" y="2950368"/>
            <a:ext cx="9991724" cy="452437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TOTAL SUBSCRIPTIONS XBOX GAME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3</xdr:col>
      <xdr:colOff>488154</xdr:colOff>
      <xdr:row>34</xdr:row>
      <xdr:rowOff>154781</xdr:rowOff>
    </xdr:from>
    <xdr:to>
      <xdr:col>15</xdr:col>
      <xdr:colOff>250031</xdr:colOff>
      <xdr:row>54</xdr:row>
      <xdr:rowOff>83344</xdr:rowOff>
    </xdr:to>
    <xdr:graphicFrame macro="">
      <xdr:nvGraphicFramePr>
        <xdr:cNvPr id="26" name="Gráfico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209550</xdr:colOff>
      <xdr:row>31</xdr:row>
      <xdr:rowOff>30956</xdr:rowOff>
    </xdr:from>
    <xdr:to>
      <xdr:col>16</xdr:col>
      <xdr:colOff>450056</xdr:colOff>
      <xdr:row>33</xdr:row>
      <xdr:rowOff>126205</xdr:rowOff>
    </xdr:to>
    <xdr:sp macro="" textlink="">
      <xdr:nvSpPr>
        <xdr:cNvPr id="31" name="Arredondar Retângulo no Mesmo Canto Lateral 30"/>
        <xdr:cNvSpPr/>
      </xdr:nvSpPr>
      <xdr:spPr>
        <a:xfrm>
          <a:off x="2233613" y="6186487"/>
          <a:ext cx="9991724" cy="452437"/>
        </a:xfrm>
        <a:prstGeom prst="round2SameRect">
          <a:avLst>
            <a:gd name="adj1" fmla="val 50000"/>
            <a:gd name="adj2" fmla="val 0"/>
          </a:avLst>
        </a:prstGeom>
        <a:solidFill>
          <a:srgbClr val="2AE6B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 baseline="0">
              <a:latin typeface="Segoe UI" panose="020B0502040204020203" pitchFamily="34" charset="0"/>
              <a:cs typeface="Segoe UI" panose="020B0502040204020203" pitchFamily="34" charset="0"/>
            </a:rPr>
            <a:t>ACTIVE SUBSCRIPTIONS XBOX GAME PASS</a:t>
          </a:r>
          <a:endParaRPr lang="pt-BR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6067.912174884259" createdVersion="8" refreshedVersion="8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4106551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s v="João Silva"/>
    <x v="0"/>
    <x v="0"/>
    <x v="0"/>
    <n v="15"/>
    <x v="0"/>
    <x v="0"/>
    <n v="30"/>
    <s v="Yes"/>
    <n v="20"/>
    <n v="5"/>
    <x v="0"/>
  </r>
  <r>
    <n v="3232"/>
    <s v="Maria Oliveira"/>
    <x v="1"/>
    <x v="1"/>
    <x v="1"/>
    <n v="5"/>
    <x v="1"/>
    <x v="1"/>
    <s v="-"/>
    <s v="No"/>
    <n v="0"/>
    <n v="0"/>
    <x v="1"/>
  </r>
  <r>
    <n v="3233"/>
    <s v="Lucas Fernandes"/>
    <x v="2"/>
    <x v="2"/>
    <x v="0"/>
    <n v="10"/>
    <x v="2"/>
    <x v="1"/>
    <s v="-"/>
    <s v="Yes"/>
    <n v="20"/>
    <n v="10"/>
    <x v="2"/>
  </r>
  <r>
    <n v="3234"/>
    <s v="Ana Souza"/>
    <x v="0"/>
    <x v="3"/>
    <x v="1"/>
    <n v="15"/>
    <x v="0"/>
    <x v="0"/>
    <n v="30"/>
    <s v="Yes"/>
    <n v="20"/>
    <n v="3"/>
    <x v="3"/>
  </r>
  <r>
    <n v="3235"/>
    <s v="Pedro Gonçalves"/>
    <x v="1"/>
    <x v="4"/>
    <x v="0"/>
    <n v="5"/>
    <x v="0"/>
    <x v="1"/>
    <s v="-"/>
    <s v="No"/>
    <n v="0"/>
    <n v="1"/>
    <x v="4"/>
  </r>
  <r>
    <n v="3236"/>
    <s v="Felipe Costa"/>
    <x v="2"/>
    <x v="5"/>
    <x v="1"/>
    <n v="10"/>
    <x v="0"/>
    <x v="1"/>
    <s v="-"/>
    <s v="Yes"/>
    <n v="20"/>
    <n v="2"/>
    <x v="5"/>
  </r>
  <r>
    <n v="3237"/>
    <s v="Camila Ribeiro"/>
    <x v="0"/>
    <x v="6"/>
    <x v="0"/>
    <n v="15"/>
    <x v="2"/>
    <x v="0"/>
    <n v="30"/>
    <s v="Yes"/>
    <n v="20"/>
    <n v="10"/>
    <x v="6"/>
  </r>
  <r>
    <n v="3238"/>
    <s v="André Mendes"/>
    <x v="1"/>
    <x v="7"/>
    <x v="0"/>
    <n v="5"/>
    <x v="1"/>
    <x v="1"/>
    <s v="-"/>
    <s v="No"/>
    <n v="0"/>
    <n v="0"/>
    <x v="1"/>
  </r>
  <r>
    <n v="3239"/>
    <s v="Sofia Almeida"/>
    <x v="0"/>
    <x v="4"/>
    <x v="1"/>
    <n v="15"/>
    <x v="0"/>
    <x v="0"/>
    <n v="30"/>
    <s v="Yes"/>
    <n v="20"/>
    <n v="5"/>
    <x v="0"/>
  </r>
  <r>
    <n v="3240"/>
    <s v="Bruno Martins"/>
    <x v="2"/>
    <x v="8"/>
    <x v="0"/>
    <n v="10"/>
    <x v="2"/>
    <x v="1"/>
    <s v="-"/>
    <s v="Yes"/>
    <n v="20"/>
    <n v="15"/>
    <x v="7"/>
  </r>
  <r>
    <n v="3241"/>
    <s v="Rita Castro"/>
    <x v="1"/>
    <x v="9"/>
    <x v="1"/>
    <n v="5"/>
    <x v="0"/>
    <x v="1"/>
    <s v="-"/>
    <s v="No"/>
    <n v="0"/>
    <n v="1"/>
    <x v="4"/>
  </r>
  <r>
    <n v="3242"/>
    <s v="Marco Túlio"/>
    <x v="0"/>
    <x v="10"/>
    <x v="0"/>
    <n v="15"/>
    <x v="1"/>
    <x v="0"/>
    <n v="30"/>
    <s v="Yes"/>
    <n v="20"/>
    <n v="20"/>
    <x v="8"/>
  </r>
  <r>
    <n v="3243"/>
    <s v="Lívia Silveira"/>
    <x v="2"/>
    <x v="11"/>
    <x v="1"/>
    <n v="10"/>
    <x v="0"/>
    <x v="1"/>
    <s v="-"/>
    <s v="Yes"/>
    <n v="20"/>
    <n v="10"/>
    <x v="2"/>
  </r>
  <r>
    <n v="3244"/>
    <s v="Diogo Sousa"/>
    <x v="1"/>
    <x v="12"/>
    <x v="0"/>
    <n v="5"/>
    <x v="2"/>
    <x v="1"/>
    <s v="-"/>
    <s v="No"/>
    <n v="0"/>
    <n v="0"/>
    <x v="1"/>
  </r>
  <r>
    <n v="3245"/>
    <s v="Fernanda Lima"/>
    <x v="0"/>
    <x v="13"/>
    <x v="1"/>
    <n v="15"/>
    <x v="0"/>
    <x v="0"/>
    <n v="30"/>
    <s v="Yes"/>
    <n v="20"/>
    <n v="8"/>
    <x v="9"/>
  </r>
  <r>
    <n v="3246"/>
    <s v="Caio Pereira"/>
    <x v="2"/>
    <x v="14"/>
    <x v="0"/>
    <n v="10"/>
    <x v="1"/>
    <x v="1"/>
    <s v="-"/>
    <s v="Yes"/>
    <n v="20"/>
    <n v="12"/>
    <x v="10"/>
  </r>
  <r>
    <n v="3247"/>
    <s v="Beatriz Gomes"/>
    <x v="1"/>
    <x v="15"/>
    <x v="1"/>
    <n v="5"/>
    <x v="0"/>
    <x v="1"/>
    <s v="-"/>
    <s v="No"/>
    <n v="0"/>
    <n v="2"/>
    <x v="11"/>
  </r>
  <r>
    <n v="3248"/>
    <s v="Cesar Oliveira"/>
    <x v="0"/>
    <x v="16"/>
    <x v="0"/>
    <n v="15"/>
    <x v="2"/>
    <x v="0"/>
    <n v="30"/>
    <s v="Yes"/>
    <n v="20"/>
    <n v="7"/>
    <x v="12"/>
  </r>
  <r>
    <n v="3249"/>
    <s v="Débora Machado"/>
    <x v="2"/>
    <x v="17"/>
    <x v="1"/>
    <n v="10"/>
    <x v="0"/>
    <x v="1"/>
    <s v="-"/>
    <s v="Yes"/>
    <n v="20"/>
    <n v="5"/>
    <x v="13"/>
  </r>
  <r>
    <n v="3250"/>
    <s v="Eduardo Vargas"/>
    <x v="1"/>
    <x v="18"/>
    <x v="0"/>
    <n v="5"/>
    <x v="1"/>
    <x v="1"/>
    <s v="-"/>
    <s v="No"/>
    <n v="0"/>
    <n v="0"/>
    <x v="1"/>
  </r>
  <r>
    <n v="3251"/>
    <s v="Gabriela Santos"/>
    <x v="0"/>
    <x v="19"/>
    <x v="1"/>
    <n v="15"/>
    <x v="0"/>
    <x v="0"/>
    <n v="30"/>
    <s v="Yes"/>
    <n v="20"/>
    <n v="3"/>
    <x v="3"/>
  </r>
  <r>
    <n v="3252"/>
    <s v="Henrique Dias"/>
    <x v="2"/>
    <x v="20"/>
    <x v="0"/>
    <n v="10"/>
    <x v="2"/>
    <x v="1"/>
    <s v="-"/>
    <s v="Yes"/>
    <n v="20"/>
    <n v="15"/>
    <x v="7"/>
  </r>
  <r>
    <n v="3253"/>
    <s v="Isabela Moreira"/>
    <x v="1"/>
    <x v="21"/>
    <x v="1"/>
    <n v="5"/>
    <x v="0"/>
    <x v="1"/>
    <s v="-"/>
    <s v="No"/>
    <n v="0"/>
    <n v="1"/>
    <x v="4"/>
  </r>
  <r>
    <n v="3254"/>
    <s v="Joaquim Barbosa"/>
    <x v="0"/>
    <x v="22"/>
    <x v="0"/>
    <n v="15"/>
    <x v="1"/>
    <x v="0"/>
    <n v="30"/>
    <s v="Yes"/>
    <n v="20"/>
    <n v="20"/>
    <x v="8"/>
  </r>
  <r>
    <n v="3255"/>
    <s v="Lara Rocha"/>
    <x v="2"/>
    <x v="23"/>
    <x v="1"/>
    <n v="10"/>
    <x v="0"/>
    <x v="1"/>
    <s v="-"/>
    <s v="Yes"/>
    <n v="20"/>
    <n v="10"/>
    <x v="2"/>
  </r>
  <r>
    <n v="3256"/>
    <s v="Matheus Silva"/>
    <x v="1"/>
    <x v="24"/>
    <x v="0"/>
    <n v="5"/>
    <x v="2"/>
    <x v="1"/>
    <s v="-"/>
    <s v="No"/>
    <n v="0"/>
    <n v="0"/>
    <x v="1"/>
  </r>
  <r>
    <n v="3257"/>
    <s v="Nicole Costa"/>
    <x v="0"/>
    <x v="25"/>
    <x v="1"/>
    <n v="15"/>
    <x v="0"/>
    <x v="0"/>
    <n v="30"/>
    <s v="Yes"/>
    <n v="20"/>
    <n v="5"/>
    <x v="0"/>
  </r>
  <r>
    <n v="3258"/>
    <s v="Otávio Mendonça"/>
    <x v="2"/>
    <x v="26"/>
    <x v="0"/>
    <n v="10"/>
    <x v="1"/>
    <x v="1"/>
    <s v="-"/>
    <s v="Yes"/>
    <n v="20"/>
    <n v="15"/>
    <x v="7"/>
  </r>
  <r>
    <n v="3259"/>
    <s v="Paula Ferreira"/>
    <x v="1"/>
    <x v="27"/>
    <x v="1"/>
    <n v="5"/>
    <x v="0"/>
    <x v="1"/>
    <s v="-"/>
    <s v="No"/>
    <n v="0"/>
    <n v="1"/>
    <x v="4"/>
  </r>
  <r>
    <n v="3260"/>
    <s v="Raquel Alves"/>
    <x v="0"/>
    <x v="28"/>
    <x v="0"/>
    <n v="15"/>
    <x v="2"/>
    <x v="0"/>
    <n v="30"/>
    <s v="Yes"/>
    <n v="20"/>
    <n v="7"/>
    <x v="12"/>
  </r>
  <r>
    <n v="3261"/>
    <s v="Samuel Pires"/>
    <x v="2"/>
    <x v="29"/>
    <x v="1"/>
    <n v="10"/>
    <x v="0"/>
    <x v="1"/>
    <s v="-"/>
    <s v="Yes"/>
    <n v="20"/>
    <n v="10"/>
    <x v="2"/>
  </r>
  <r>
    <n v="3262"/>
    <s v="Tânia Barros"/>
    <x v="1"/>
    <x v="30"/>
    <x v="0"/>
    <n v="5"/>
    <x v="1"/>
    <x v="1"/>
    <s v="-"/>
    <s v="No"/>
    <n v="0"/>
    <n v="0"/>
    <x v="1"/>
  </r>
  <r>
    <n v="3263"/>
    <s v="Vinicius Lima"/>
    <x v="0"/>
    <x v="31"/>
    <x v="1"/>
    <n v="15"/>
    <x v="0"/>
    <x v="0"/>
    <n v="30"/>
    <s v="Yes"/>
    <n v="20"/>
    <n v="3"/>
    <x v="3"/>
  </r>
  <r>
    <n v="3264"/>
    <s v="Yasmin Teixeira"/>
    <x v="2"/>
    <x v="32"/>
    <x v="0"/>
    <n v="10"/>
    <x v="2"/>
    <x v="1"/>
    <s v="-"/>
    <s v="Yes"/>
    <n v="20"/>
    <n v="15"/>
    <x v="7"/>
  </r>
  <r>
    <n v="3265"/>
    <s v="Zé Carlos"/>
    <x v="1"/>
    <x v="33"/>
    <x v="1"/>
    <n v="5"/>
    <x v="0"/>
    <x v="1"/>
    <s v="-"/>
    <s v="No"/>
    <n v="0"/>
    <n v="1"/>
    <x v="4"/>
  </r>
  <r>
    <n v="3266"/>
    <s v="Amanda Nogueira"/>
    <x v="1"/>
    <x v="34"/>
    <x v="0"/>
    <n v="5"/>
    <x v="0"/>
    <x v="1"/>
    <s v="-"/>
    <s v="No"/>
    <n v="0"/>
    <n v="0"/>
    <x v="1"/>
  </r>
  <r>
    <n v="3267"/>
    <s v="Bruno Cavalheiro"/>
    <x v="0"/>
    <x v="35"/>
    <x v="1"/>
    <n v="15"/>
    <x v="2"/>
    <x v="0"/>
    <n v="30"/>
    <s v="Yes"/>
    <n v="20"/>
    <n v="7"/>
    <x v="12"/>
  </r>
  <r>
    <n v="3268"/>
    <s v="Carla Dias"/>
    <x v="2"/>
    <x v="36"/>
    <x v="0"/>
    <n v="10"/>
    <x v="1"/>
    <x v="1"/>
    <s v="-"/>
    <s v="Yes"/>
    <n v="20"/>
    <n v="10"/>
    <x v="2"/>
  </r>
  <r>
    <n v="3269"/>
    <s v="Diego Fontes"/>
    <x v="1"/>
    <x v="37"/>
    <x v="1"/>
    <n v="5"/>
    <x v="2"/>
    <x v="1"/>
    <s v="-"/>
    <s v="No"/>
    <n v="0"/>
    <n v="1"/>
    <x v="4"/>
  </r>
  <r>
    <n v="3270"/>
    <s v="Eunice Lima"/>
    <x v="0"/>
    <x v="38"/>
    <x v="0"/>
    <n v="15"/>
    <x v="0"/>
    <x v="0"/>
    <n v="30"/>
    <s v="Yes"/>
    <n v="20"/>
    <n v="15"/>
    <x v="14"/>
  </r>
  <r>
    <n v="3271"/>
    <s v="Fábio Martins"/>
    <x v="2"/>
    <x v="39"/>
    <x v="1"/>
    <n v="10"/>
    <x v="0"/>
    <x v="1"/>
    <s v="-"/>
    <s v="Yes"/>
    <n v="20"/>
    <n v="5"/>
    <x v="13"/>
  </r>
  <r>
    <n v="3272"/>
    <s v="Gisele Araújo"/>
    <x v="1"/>
    <x v="40"/>
    <x v="0"/>
    <n v="5"/>
    <x v="1"/>
    <x v="1"/>
    <s v="-"/>
    <s v="No"/>
    <n v="0"/>
    <n v="0"/>
    <x v="1"/>
  </r>
  <r>
    <n v="3273"/>
    <s v="Hélio Castro"/>
    <x v="0"/>
    <x v="41"/>
    <x v="1"/>
    <n v="15"/>
    <x v="2"/>
    <x v="0"/>
    <n v="30"/>
    <s v="Yes"/>
    <n v="20"/>
    <n v="20"/>
    <x v="8"/>
  </r>
  <r>
    <n v="3274"/>
    <s v="Ingrid Menezes"/>
    <x v="2"/>
    <x v="42"/>
    <x v="0"/>
    <n v="10"/>
    <x v="2"/>
    <x v="1"/>
    <s v="-"/>
    <s v="Yes"/>
    <n v="20"/>
    <n v="12"/>
    <x v="10"/>
  </r>
  <r>
    <n v="3275"/>
    <s v="Jorge Baptista"/>
    <x v="1"/>
    <x v="43"/>
    <x v="1"/>
    <n v="5"/>
    <x v="0"/>
    <x v="1"/>
    <s v="-"/>
    <s v="No"/>
    <n v="0"/>
    <n v="2"/>
    <x v="11"/>
  </r>
  <r>
    <n v="3276"/>
    <s v="Kléber Oliveira"/>
    <x v="0"/>
    <x v="44"/>
    <x v="0"/>
    <n v="15"/>
    <x v="1"/>
    <x v="0"/>
    <n v="30"/>
    <s v="Yes"/>
    <n v="20"/>
    <n v="5"/>
    <x v="0"/>
  </r>
  <r>
    <n v="3277"/>
    <s v="Luciana Freitas"/>
    <x v="2"/>
    <x v="45"/>
    <x v="1"/>
    <n v="10"/>
    <x v="0"/>
    <x v="1"/>
    <s v="-"/>
    <s v="Yes"/>
    <n v="20"/>
    <n v="10"/>
    <x v="2"/>
  </r>
  <r>
    <n v="3278"/>
    <s v="Márcia Eller"/>
    <x v="1"/>
    <x v="46"/>
    <x v="0"/>
    <n v="5"/>
    <x v="2"/>
    <x v="1"/>
    <s v="-"/>
    <s v="No"/>
    <n v="0"/>
    <n v="0"/>
    <x v="1"/>
  </r>
  <r>
    <n v="3279"/>
    <s v="Nilo Peçanha"/>
    <x v="0"/>
    <x v="47"/>
    <x v="1"/>
    <n v="15"/>
    <x v="0"/>
    <x v="0"/>
    <n v="30"/>
    <s v="Yes"/>
    <n v="20"/>
    <n v="3"/>
    <x v="3"/>
  </r>
  <r>
    <n v="3280"/>
    <s v="Oscar Neves"/>
    <x v="2"/>
    <x v="48"/>
    <x v="0"/>
    <n v="10"/>
    <x v="1"/>
    <x v="1"/>
    <s v="-"/>
    <s v="Yes"/>
    <n v="20"/>
    <n v="15"/>
    <x v="7"/>
  </r>
  <r>
    <n v="3281"/>
    <s v="Patrícia Soares"/>
    <x v="1"/>
    <x v="49"/>
    <x v="1"/>
    <n v="5"/>
    <x v="0"/>
    <x v="1"/>
    <s v="-"/>
    <s v="No"/>
    <n v="0"/>
    <n v="1"/>
    <x v="4"/>
  </r>
  <r>
    <n v="3282"/>
    <s v="Quirino Gonçalves"/>
    <x v="0"/>
    <x v="50"/>
    <x v="0"/>
    <n v="15"/>
    <x v="2"/>
    <x v="0"/>
    <n v="30"/>
    <s v="Yes"/>
    <n v="20"/>
    <n v="7"/>
    <x v="12"/>
  </r>
  <r>
    <n v="3283"/>
    <s v="Raul Machado"/>
    <x v="2"/>
    <x v="51"/>
    <x v="1"/>
    <n v="10"/>
    <x v="0"/>
    <x v="1"/>
    <s v="-"/>
    <s v="Yes"/>
    <n v="20"/>
    <n v="10"/>
    <x v="2"/>
  </r>
  <r>
    <n v="3284"/>
    <s v="Sônia Lobo"/>
    <x v="1"/>
    <x v="52"/>
    <x v="0"/>
    <n v="5"/>
    <x v="1"/>
    <x v="1"/>
    <s v="-"/>
    <s v="No"/>
    <n v="0"/>
    <n v="0"/>
    <x v="1"/>
  </r>
  <r>
    <n v="3285"/>
    <s v="Tiago Ramos"/>
    <x v="0"/>
    <x v="53"/>
    <x v="1"/>
    <n v="15"/>
    <x v="0"/>
    <x v="0"/>
    <n v="30"/>
    <s v="Yes"/>
    <n v="20"/>
    <n v="20"/>
    <x v="8"/>
  </r>
  <r>
    <n v="3286"/>
    <s v="Ugo Pires"/>
    <x v="2"/>
    <x v="54"/>
    <x v="0"/>
    <n v="10"/>
    <x v="2"/>
    <x v="1"/>
    <s v="-"/>
    <s v="Yes"/>
    <n v="20"/>
    <n v="15"/>
    <x v="7"/>
  </r>
  <r>
    <n v="3287"/>
    <s v="Valéria Nobre"/>
    <x v="1"/>
    <x v="55"/>
    <x v="1"/>
    <n v="5"/>
    <x v="0"/>
    <x v="1"/>
    <s v="-"/>
    <s v="No"/>
    <n v="0"/>
    <n v="1"/>
    <x v="4"/>
  </r>
  <r>
    <n v="3288"/>
    <s v="William Siqueira"/>
    <x v="0"/>
    <x v="56"/>
    <x v="0"/>
    <n v="15"/>
    <x v="1"/>
    <x v="0"/>
    <n v="30"/>
    <s v="Yes"/>
    <n v="20"/>
    <n v="3"/>
    <x v="3"/>
  </r>
  <r>
    <n v="3289"/>
    <s v="Xuxa Meneghel"/>
    <x v="2"/>
    <x v="57"/>
    <x v="1"/>
    <n v="10"/>
    <x v="0"/>
    <x v="1"/>
    <s v="-"/>
    <s v="Yes"/>
    <n v="20"/>
    <n v="10"/>
    <x v="2"/>
  </r>
  <r>
    <n v="3290"/>
    <s v="Yara Figueiredo"/>
    <x v="1"/>
    <x v="58"/>
    <x v="0"/>
    <n v="5"/>
    <x v="2"/>
    <x v="1"/>
    <s v="-"/>
    <s v="No"/>
    <n v="0"/>
    <n v="0"/>
    <x v="1"/>
  </r>
  <r>
    <n v="3291"/>
    <s v="Zacarias Alves"/>
    <x v="0"/>
    <x v="59"/>
    <x v="1"/>
    <n v="15"/>
    <x v="0"/>
    <x v="0"/>
    <n v="30"/>
    <s v="Yes"/>
    <n v="20"/>
    <n v="5"/>
    <x v="0"/>
  </r>
  <r>
    <n v="3292"/>
    <s v="Amanda Bynes"/>
    <x v="2"/>
    <x v="60"/>
    <x v="0"/>
    <n v="10"/>
    <x v="1"/>
    <x v="1"/>
    <s v="-"/>
    <s v="Yes"/>
    <n v="20"/>
    <n v="15"/>
    <x v="7"/>
  </r>
  <r>
    <n v="3293"/>
    <s v="Bruno Mars"/>
    <x v="1"/>
    <x v="61"/>
    <x v="1"/>
    <n v="5"/>
    <x v="0"/>
    <x v="1"/>
    <s v="-"/>
    <s v="No"/>
    <n v="0"/>
    <n v="1"/>
    <x v="4"/>
  </r>
  <r>
    <n v="3294"/>
    <s v="Carla Bruni"/>
    <x v="0"/>
    <x v="62"/>
    <x v="0"/>
    <n v="15"/>
    <x v="2"/>
    <x v="0"/>
    <n v="30"/>
    <s v="Yes"/>
    <n v="20"/>
    <n v="20"/>
    <x v="8"/>
  </r>
  <r>
    <n v="3295"/>
    <s v="Diego Maradona"/>
    <x v="2"/>
    <x v="63"/>
    <x v="1"/>
    <n v="10"/>
    <x v="0"/>
    <x v="1"/>
    <s v="-"/>
    <s v="Yes"/>
    <n v="20"/>
    <n v="5"/>
    <x v="13"/>
  </r>
  <r>
    <n v="3296"/>
    <s v="Estela Marques"/>
    <x v="1"/>
    <x v="64"/>
    <x v="1"/>
    <n v="5"/>
    <x v="0"/>
    <x v="1"/>
    <s v="-"/>
    <s v="No"/>
    <n v="0"/>
    <n v="0"/>
    <x v="1"/>
  </r>
  <r>
    <n v="3297"/>
    <s v="Fábio Nobre"/>
    <x v="0"/>
    <x v="65"/>
    <x v="0"/>
    <n v="15"/>
    <x v="2"/>
    <x v="0"/>
    <n v="30"/>
    <s v="Yes"/>
    <n v="20"/>
    <n v="7"/>
    <x v="12"/>
  </r>
  <r>
    <n v="3298"/>
    <s v="Gabriel Oliveira"/>
    <x v="2"/>
    <x v="66"/>
    <x v="1"/>
    <n v="10"/>
    <x v="1"/>
    <x v="1"/>
    <s v="-"/>
    <s v="Yes"/>
    <n v="20"/>
    <n v="10"/>
    <x v="2"/>
  </r>
  <r>
    <n v="3299"/>
    <s v="Helena Santos"/>
    <x v="1"/>
    <x v="67"/>
    <x v="0"/>
    <n v="5"/>
    <x v="2"/>
    <x v="1"/>
    <s v="-"/>
    <s v="No"/>
    <n v="0"/>
    <n v="1"/>
    <x v="4"/>
  </r>
  <r>
    <n v="3300"/>
    <s v="Ivan Carvalho"/>
    <x v="0"/>
    <x v="68"/>
    <x v="1"/>
    <n v="15"/>
    <x v="0"/>
    <x v="0"/>
    <n v="30"/>
    <s v="Yes"/>
    <n v="20"/>
    <n v="15"/>
    <x v="14"/>
  </r>
  <r>
    <n v="3301"/>
    <s v="Júlia Ferreira"/>
    <x v="2"/>
    <x v="69"/>
    <x v="0"/>
    <n v="10"/>
    <x v="0"/>
    <x v="1"/>
    <s v="-"/>
    <s v="Yes"/>
    <n v="20"/>
    <n v="5"/>
    <x v="13"/>
  </r>
  <r>
    <n v="3302"/>
    <s v="Karla Alves"/>
    <x v="1"/>
    <x v="70"/>
    <x v="1"/>
    <n v="5"/>
    <x v="1"/>
    <x v="1"/>
    <s v="-"/>
    <s v="No"/>
    <n v="0"/>
    <n v="0"/>
    <x v="1"/>
  </r>
  <r>
    <n v="3303"/>
    <s v="Lucas Mendes"/>
    <x v="0"/>
    <x v="71"/>
    <x v="0"/>
    <n v="15"/>
    <x v="2"/>
    <x v="0"/>
    <n v="30"/>
    <s v="Yes"/>
    <n v="20"/>
    <n v="20"/>
    <x v="8"/>
  </r>
  <r>
    <n v="3304"/>
    <s v="Mônica Gomes"/>
    <x v="2"/>
    <x v="72"/>
    <x v="1"/>
    <n v="10"/>
    <x v="2"/>
    <x v="1"/>
    <s v="-"/>
    <s v="Yes"/>
    <n v="20"/>
    <n v="12"/>
    <x v="10"/>
  </r>
  <r>
    <n v="3305"/>
    <s v="Norberto Queiroz"/>
    <x v="1"/>
    <x v="73"/>
    <x v="0"/>
    <n v="5"/>
    <x v="0"/>
    <x v="1"/>
    <s v="-"/>
    <s v="No"/>
    <n v="0"/>
    <n v="2"/>
    <x v="11"/>
  </r>
  <r>
    <n v="3306"/>
    <s v="Otávio Barros"/>
    <x v="0"/>
    <x v="74"/>
    <x v="1"/>
    <n v="15"/>
    <x v="1"/>
    <x v="0"/>
    <n v="30"/>
    <s v="Yes"/>
    <n v="20"/>
    <n v="5"/>
    <x v="0"/>
  </r>
  <r>
    <n v="3307"/>
    <s v="Paula Vieira"/>
    <x v="2"/>
    <x v="75"/>
    <x v="0"/>
    <n v="10"/>
    <x v="0"/>
    <x v="1"/>
    <s v="-"/>
    <s v="Yes"/>
    <n v="20"/>
    <n v="10"/>
    <x v="2"/>
  </r>
  <r>
    <n v="3308"/>
    <s v="Quentin Ramos"/>
    <x v="1"/>
    <x v="76"/>
    <x v="1"/>
    <n v="5"/>
    <x v="2"/>
    <x v="1"/>
    <s v="-"/>
    <s v="No"/>
    <n v="0"/>
    <n v="0"/>
    <x v="1"/>
  </r>
  <r>
    <n v="3309"/>
    <s v="Raquel Novaes"/>
    <x v="0"/>
    <x v="77"/>
    <x v="0"/>
    <n v="15"/>
    <x v="0"/>
    <x v="0"/>
    <n v="30"/>
    <s v="Yes"/>
    <n v="20"/>
    <n v="3"/>
    <x v="3"/>
  </r>
  <r>
    <n v="3310"/>
    <s v="Samantha Lopes"/>
    <x v="2"/>
    <x v="78"/>
    <x v="1"/>
    <n v="10"/>
    <x v="1"/>
    <x v="1"/>
    <s v="-"/>
    <s v="Yes"/>
    <n v="20"/>
    <n v="15"/>
    <x v="7"/>
  </r>
  <r>
    <n v="3311"/>
    <s v="Tiago Martins"/>
    <x v="1"/>
    <x v="79"/>
    <x v="0"/>
    <n v="5"/>
    <x v="0"/>
    <x v="1"/>
    <s v="-"/>
    <s v="No"/>
    <n v="0"/>
    <n v="1"/>
    <x v="4"/>
  </r>
  <r>
    <n v="3312"/>
    <s v="Ulysses Guimarães"/>
    <x v="0"/>
    <x v="80"/>
    <x v="1"/>
    <n v="15"/>
    <x v="2"/>
    <x v="0"/>
    <n v="30"/>
    <s v="Yes"/>
    <n v="20"/>
    <n v="7"/>
    <x v="12"/>
  </r>
  <r>
    <n v="3313"/>
    <s v="Vanessa Silva"/>
    <x v="2"/>
    <x v="81"/>
    <x v="0"/>
    <n v="10"/>
    <x v="0"/>
    <x v="1"/>
    <s v="-"/>
    <s v="Yes"/>
    <n v="20"/>
    <n v="10"/>
    <x v="2"/>
  </r>
  <r>
    <n v="3314"/>
    <s v="William Carneiro"/>
    <x v="1"/>
    <x v="82"/>
    <x v="1"/>
    <n v="5"/>
    <x v="1"/>
    <x v="1"/>
    <s v="-"/>
    <s v="No"/>
    <n v="0"/>
    <n v="0"/>
    <x v="1"/>
  </r>
  <r>
    <n v="3315"/>
    <s v="Ximena Rocha"/>
    <x v="0"/>
    <x v="83"/>
    <x v="0"/>
    <n v="15"/>
    <x v="0"/>
    <x v="0"/>
    <n v="30"/>
    <s v="Yes"/>
    <n v="20"/>
    <n v="20"/>
    <x v="8"/>
  </r>
  <r>
    <n v="3316"/>
    <s v="Yasmin Figueiredo"/>
    <x v="2"/>
    <x v="84"/>
    <x v="1"/>
    <n v="10"/>
    <x v="2"/>
    <x v="1"/>
    <s v="-"/>
    <s v="Yes"/>
    <n v="20"/>
    <n v="15"/>
    <x v="7"/>
  </r>
  <r>
    <n v="3317"/>
    <s v="Zara Cunha"/>
    <x v="1"/>
    <x v="85"/>
    <x v="0"/>
    <n v="5"/>
    <x v="0"/>
    <x v="1"/>
    <s v="-"/>
    <s v="No"/>
    <n v="0"/>
    <n v="1"/>
    <x v="4"/>
  </r>
  <r>
    <n v="3318"/>
    <s v="Alan Teixeira"/>
    <x v="0"/>
    <x v="86"/>
    <x v="1"/>
    <n v="15"/>
    <x v="1"/>
    <x v="0"/>
    <n v="30"/>
    <s v="Yes"/>
    <n v="20"/>
    <n v="3"/>
    <x v="3"/>
  </r>
  <r>
    <n v="3319"/>
    <s v="Bárbara Oliveira"/>
    <x v="2"/>
    <x v="87"/>
    <x v="0"/>
    <n v="10"/>
    <x v="0"/>
    <x v="1"/>
    <s v="-"/>
    <s v="Yes"/>
    <n v="20"/>
    <n v="10"/>
    <x v="2"/>
  </r>
  <r>
    <n v="3320"/>
    <s v="Carlos Junqueira"/>
    <x v="1"/>
    <x v="88"/>
    <x v="1"/>
    <n v="5"/>
    <x v="2"/>
    <x v="1"/>
    <s v="-"/>
    <s v="No"/>
    <n v="0"/>
    <n v="0"/>
    <x v="1"/>
  </r>
  <r>
    <n v="3321"/>
    <s v="Daniela Moura"/>
    <x v="0"/>
    <x v="89"/>
    <x v="0"/>
    <n v="15"/>
    <x v="0"/>
    <x v="0"/>
    <n v="30"/>
    <s v="Yes"/>
    <n v="20"/>
    <n v="5"/>
    <x v="0"/>
  </r>
  <r>
    <n v="3322"/>
    <s v="Eduardo Lima"/>
    <x v="2"/>
    <x v="90"/>
    <x v="1"/>
    <n v="10"/>
    <x v="1"/>
    <x v="1"/>
    <s v="-"/>
    <s v="Yes"/>
    <n v="20"/>
    <n v="15"/>
    <x v="7"/>
  </r>
  <r>
    <n v="3323"/>
    <s v="Fabiana Araújo"/>
    <x v="1"/>
    <x v="91"/>
    <x v="0"/>
    <n v="5"/>
    <x v="0"/>
    <x v="1"/>
    <s v="-"/>
    <s v="No"/>
    <n v="0"/>
    <n v="1"/>
    <x v="4"/>
  </r>
  <r>
    <n v="3324"/>
    <s v="Geraldo Ribeiro"/>
    <x v="0"/>
    <x v="92"/>
    <x v="1"/>
    <n v="15"/>
    <x v="2"/>
    <x v="0"/>
    <n v="30"/>
    <s v="Yes"/>
    <n v="20"/>
    <n v="20"/>
    <x v="8"/>
  </r>
  <r>
    <n v="3325"/>
    <s v="Héctor Vargas"/>
    <x v="2"/>
    <x v="93"/>
    <x v="0"/>
    <n v="10"/>
    <x v="2"/>
    <x v="1"/>
    <s v="-"/>
    <s v="Yes"/>
    <n v="20"/>
    <n v="15"/>
    <x v="7"/>
  </r>
  <r>
    <n v="3326"/>
    <s v="Isabela Fonseca"/>
    <x v="1"/>
    <x v="94"/>
    <x v="1"/>
    <n v="5"/>
    <x v="1"/>
    <x v="1"/>
    <s v="-"/>
    <s v="No"/>
    <n v="0"/>
    <n v="0"/>
    <x v="1"/>
  </r>
  <r>
    <n v="3327"/>
    <s v="João Pedro Almeida"/>
    <x v="0"/>
    <x v="95"/>
    <x v="0"/>
    <n v="15"/>
    <x v="0"/>
    <x v="0"/>
    <n v="30"/>
    <s v="Yes"/>
    <n v="20"/>
    <n v="7"/>
    <x v="12"/>
  </r>
  <r>
    <n v="3328"/>
    <s v="Klara Costa"/>
    <x v="2"/>
    <x v="96"/>
    <x v="1"/>
    <n v="10"/>
    <x v="1"/>
    <x v="1"/>
    <s v="-"/>
    <s v="Yes"/>
    <n v="20"/>
    <n v="10"/>
    <x v="2"/>
  </r>
  <r>
    <n v="3329"/>
    <s v="Luciana Mendes"/>
    <x v="1"/>
    <x v="97"/>
    <x v="0"/>
    <n v="5"/>
    <x v="2"/>
    <x v="1"/>
    <s v="-"/>
    <s v="No"/>
    <n v="0"/>
    <n v="1"/>
    <x v="4"/>
  </r>
  <r>
    <n v="3330"/>
    <s v="Marcelo Gouveia"/>
    <x v="0"/>
    <x v="98"/>
    <x v="1"/>
    <n v="15"/>
    <x v="0"/>
    <x v="0"/>
    <n v="30"/>
    <s v="Yes"/>
    <n v="20"/>
    <n v="15"/>
    <x v="14"/>
  </r>
  <r>
    <n v="3331"/>
    <s v="Nívea Borges"/>
    <x v="2"/>
    <x v="99"/>
    <x v="0"/>
    <n v="10"/>
    <x v="0"/>
    <x v="1"/>
    <s v="-"/>
    <s v="Yes"/>
    <n v="20"/>
    <n v="5"/>
    <x v="13"/>
  </r>
  <r>
    <n v="3332"/>
    <s v="Oscar Nogueira"/>
    <x v="1"/>
    <x v="100"/>
    <x v="1"/>
    <n v="5"/>
    <x v="1"/>
    <x v="1"/>
    <s v="-"/>
    <s v="No"/>
    <n v="0"/>
    <n v="0"/>
    <x v="1"/>
  </r>
  <r>
    <n v="3333"/>
    <s v="Patrícia Alves"/>
    <x v="0"/>
    <x v="101"/>
    <x v="0"/>
    <n v="15"/>
    <x v="2"/>
    <x v="0"/>
    <n v="30"/>
    <s v="Yes"/>
    <n v="20"/>
    <n v="20"/>
    <x v="8"/>
  </r>
  <r>
    <n v="3334"/>
    <s v="Rafaela Silva"/>
    <x v="2"/>
    <x v="102"/>
    <x v="1"/>
    <n v="10"/>
    <x v="2"/>
    <x v="1"/>
    <s v="-"/>
    <s v="Yes"/>
    <n v="20"/>
    <n v="12"/>
    <x v="10"/>
  </r>
  <r>
    <n v="3335"/>
    <s v="Samantha Moraes"/>
    <x v="1"/>
    <x v="103"/>
    <x v="0"/>
    <n v="5"/>
    <x v="0"/>
    <x v="1"/>
    <s v="-"/>
    <s v="No"/>
    <n v="0"/>
    <n v="2"/>
    <x v="11"/>
  </r>
  <r>
    <n v="3336"/>
    <s v="Tatiana Rocha"/>
    <x v="1"/>
    <x v="104"/>
    <x v="0"/>
    <n v="5"/>
    <x v="0"/>
    <x v="1"/>
    <s v="-"/>
    <s v="No"/>
    <n v="0"/>
    <n v="0"/>
    <x v="1"/>
  </r>
  <r>
    <n v="3337"/>
    <s v="Ulisses Tavares"/>
    <x v="0"/>
    <x v="105"/>
    <x v="1"/>
    <n v="15"/>
    <x v="2"/>
    <x v="0"/>
    <n v="30"/>
    <s v="Yes"/>
    <n v="20"/>
    <n v="7"/>
    <x v="12"/>
  </r>
  <r>
    <n v="3338"/>
    <s v="Víctor Lemos"/>
    <x v="2"/>
    <x v="106"/>
    <x v="0"/>
    <n v="10"/>
    <x v="1"/>
    <x v="1"/>
    <s v="-"/>
    <s v="Yes"/>
    <n v="20"/>
    <n v="10"/>
    <x v="2"/>
  </r>
  <r>
    <n v="3339"/>
    <s v="Wilma Barros"/>
    <x v="1"/>
    <x v="107"/>
    <x v="1"/>
    <n v="5"/>
    <x v="2"/>
    <x v="1"/>
    <s v="-"/>
    <s v="No"/>
    <n v="0"/>
    <n v="1"/>
    <x v="4"/>
  </r>
  <r>
    <n v="3340"/>
    <s v="Xavier Nascimento"/>
    <x v="0"/>
    <x v="108"/>
    <x v="0"/>
    <n v="15"/>
    <x v="0"/>
    <x v="0"/>
    <n v="30"/>
    <s v="Yes"/>
    <n v="20"/>
    <n v="15"/>
    <x v="14"/>
  </r>
  <r>
    <n v="3341"/>
    <s v="Yago Pereira"/>
    <x v="2"/>
    <x v="109"/>
    <x v="1"/>
    <n v="10"/>
    <x v="0"/>
    <x v="1"/>
    <s v="-"/>
    <s v="Yes"/>
    <n v="20"/>
    <n v="5"/>
    <x v="13"/>
  </r>
  <r>
    <n v="3342"/>
    <s v="Zilda Ferreira"/>
    <x v="1"/>
    <x v="110"/>
    <x v="0"/>
    <n v="5"/>
    <x v="1"/>
    <x v="1"/>
    <s v="-"/>
    <s v="No"/>
    <n v="0"/>
    <n v="0"/>
    <x v="1"/>
  </r>
  <r>
    <n v="3343"/>
    <s v="Amanda Lopes"/>
    <x v="0"/>
    <x v="111"/>
    <x v="1"/>
    <n v="15"/>
    <x v="2"/>
    <x v="0"/>
    <n v="30"/>
    <s v="Yes"/>
    <n v="20"/>
    <n v="20"/>
    <x v="8"/>
  </r>
  <r>
    <n v="3344"/>
    <s v="Bruno Miranda"/>
    <x v="2"/>
    <x v="112"/>
    <x v="0"/>
    <n v="10"/>
    <x v="2"/>
    <x v="1"/>
    <s v="-"/>
    <s v="Yes"/>
    <n v="20"/>
    <n v="12"/>
    <x v="10"/>
  </r>
  <r>
    <n v="3345"/>
    <s v="Célia Torres"/>
    <x v="1"/>
    <x v="113"/>
    <x v="1"/>
    <n v="5"/>
    <x v="0"/>
    <x v="1"/>
    <s v="-"/>
    <s v="No"/>
    <n v="0"/>
    <n v="2"/>
    <x v="11"/>
  </r>
  <r>
    <n v="3346"/>
    <s v="Diogo Souza"/>
    <x v="0"/>
    <x v="114"/>
    <x v="0"/>
    <n v="15"/>
    <x v="1"/>
    <x v="0"/>
    <n v="30"/>
    <s v="Yes"/>
    <n v="20"/>
    <n v="5"/>
    <x v="0"/>
  </r>
  <r>
    <n v="3347"/>
    <s v="Elisa Castro"/>
    <x v="2"/>
    <x v="115"/>
    <x v="1"/>
    <n v="10"/>
    <x v="0"/>
    <x v="1"/>
    <s v="-"/>
    <s v="Yes"/>
    <n v="20"/>
    <n v="10"/>
    <x v="2"/>
  </r>
  <r>
    <n v="3348"/>
    <s v="Fátima Lima"/>
    <x v="1"/>
    <x v="116"/>
    <x v="0"/>
    <n v="5"/>
    <x v="2"/>
    <x v="1"/>
    <s v="-"/>
    <s v="No"/>
    <n v="0"/>
    <n v="0"/>
    <x v="1"/>
  </r>
  <r>
    <n v="3349"/>
    <s v="Geraldo Ribeiro"/>
    <x v="0"/>
    <x v="117"/>
    <x v="1"/>
    <n v="15"/>
    <x v="0"/>
    <x v="0"/>
    <n v="30"/>
    <s v="Yes"/>
    <n v="20"/>
    <n v="3"/>
    <x v="3"/>
  </r>
  <r>
    <n v="3350"/>
    <s v="Hélio Martins"/>
    <x v="2"/>
    <x v="118"/>
    <x v="0"/>
    <n v="10"/>
    <x v="1"/>
    <x v="1"/>
    <s v="-"/>
    <s v="Yes"/>
    <n v="20"/>
    <n v="15"/>
    <x v="7"/>
  </r>
  <r>
    <n v="3351"/>
    <s v="Íris Santos"/>
    <x v="1"/>
    <x v="119"/>
    <x v="1"/>
    <n v="5"/>
    <x v="0"/>
    <x v="1"/>
    <s v="-"/>
    <s v="No"/>
    <n v="0"/>
    <n v="1"/>
    <x v="4"/>
  </r>
  <r>
    <n v="3352"/>
    <s v="João Marcelo"/>
    <x v="0"/>
    <x v="120"/>
    <x v="0"/>
    <n v="15"/>
    <x v="2"/>
    <x v="0"/>
    <n v="30"/>
    <s v="Yes"/>
    <n v="20"/>
    <n v="7"/>
    <x v="12"/>
  </r>
  <r>
    <n v="3353"/>
    <s v="Larissa Gomes"/>
    <x v="2"/>
    <x v="121"/>
    <x v="1"/>
    <n v="10"/>
    <x v="0"/>
    <x v="1"/>
    <s v="-"/>
    <s v="Yes"/>
    <n v="20"/>
    <n v="10"/>
    <x v="2"/>
  </r>
  <r>
    <n v="3354"/>
    <s v="Márcio Silva"/>
    <x v="1"/>
    <x v="122"/>
    <x v="0"/>
    <n v="5"/>
    <x v="1"/>
    <x v="1"/>
    <s v="-"/>
    <s v="No"/>
    <n v="0"/>
    <n v="0"/>
    <x v="1"/>
  </r>
  <r>
    <n v="3355"/>
    <s v="Nadia Costa"/>
    <x v="0"/>
    <x v="123"/>
    <x v="1"/>
    <n v="15"/>
    <x v="0"/>
    <x v="0"/>
    <n v="30"/>
    <s v="Yes"/>
    <n v="20"/>
    <n v="20"/>
    <x v="8"/>
  </r>
  <r>
    <n v="3356"/>
    <s v="Oscar Almeida"/>
    <x v="2"/>
    <x v="124"/>
    <x v="0"/>
    <n v="10"/>
    <x v="2"/>
    <x v="1"/>
    <s v="-"/>
    <s v="Yes"/>
    <n v="20"/>
    <n v="15"/>
    <x v="7"/>
  </r>
  <r>
    <n v="3357"/>
    <s v="Patricia Soares"/>
    <x v="1"/>
    <x v="125"/>
    <x v="1"/>
    <n v="5"/>
    <x v="0"/>
    <x v="1"/>
    <s v="-"/>
    <s v="No"/>
    <n v="0"/>
    <n v="1"/>
    <x v="4"/>
  </r>
  <r>
    <n v="3358"/>
    <s v="Quênia Barros"/>
    <x v="0"/>
    <x v="126"/>
    <x v="0"/>
    <n v="15"/>
    <x v="1"/>
    <x v="0"/>
    <n v="30"/>
    <s v="Yes"/>
    <n v="20"/>
    <n v="3"/>
    <x v="3"/>
  </r>
  <r>
    <n v="3359"/>
    <s v="Rafael Torres"/>
    <x v="2"/>
    <x v="127"/>
    <x v="1"/>
    <n v="10"/>
    <x v="0"/>
    <x v="1"/>
    <s v="-"/>
    <s v="Yes"/>
    <n v="20"/>
    <n v="10"/>
    <x v="2"/>
  </r>
  <r>
    <n v="3360"/>
    <s v="Silvia Nascimento"/>
    <x v="1"/>
    <x v="128"/>
    <x v="0"/>
    <n v="5"/>
    <x v="2"/>
    <x v="1"/>
    <s v="-"/>
    <s v="No"/>
    <n v="0"/>
    <n v="0"/>
    <x v="1"/>
  </r>
  <r>
    <n v="3361"/>
    <s v="Tiago Mendes"/>
    <x v="0"/>
    <x v="129"/>
    <x v="1"/>
    <n v="15"/>
    <x v="0"/>
    <x v="0"/>
    <n v="30"/>
    <s v="Yes"/>
    <n v="20"/>
    <n v="15"/>
    <x v="14"/>
  </r>
  <r>
    <n v="3362"/>
    <s v="Ursula Silva"/>
    <x v="2"/>
    <x v="130"/>
    <x v="0"/>
    <n v="10"/>
    <x v="1"/>
    <x v="1"/>
    <s v="-"/>
    <s v="Yes"/>
    <n v="20"/>
    <n v="15"/>
    <x v="7"/>
  </r>
  <r>
    <n v="3363"/>
    <s v="Vanessa Moraes"/>
    <x v="1"/>
    <x v="131"/>
    <x v="1"/>
    <n v="5"/>
    <x v="0"/>
    <x v="1"/>
    <s v="-"/>
    <s v="No"/>
    <n v="0"/>
    <n v="1"/>
    <x v="4"/>
  </r>
  <r>
    <n v="3364"/>
    <s v="Waldir Junior"/>
    <x v="0"/>
    <x v="132"/>
    <x v="0"/>
    <n v="15"/>
    <x v="2"/>
    <x v="0"/>
    <n v="30"/>
    <s v="Yes"/>
    <n v="20"/>
    <n v="7"/>
    <x v="12"/>
  </r>
  <r>
    <n v="3365"/>
    <s v="Xavier Lopes"/>
    <x v="2"/>
    <x v="133"/>
    <x v="1"/>
    <n v="10"/>
    <x v="0"/>
    <x v="1"/>
    <s v="-"/>
    <s v="Yes"/>
    <n v="20"/>
    <n v="10"/>
    <x v="2"/>
  </r>
  <r>
    <n v="3366"/>
    <s v="Yolanda Freitas"/>
    <x v="1"/>
    <x v="134"/>
    <x v="0"/>
    <n v="5"/>
    <x v="0"/>
    <x v="1"/>
    <s v="-"/>
    <s v="No"/>
    <n v="0"/>
    <n v="0"/>
    <x v="1"/>
  </r>
  <r>
    <n v="3367"/>
    <s v="Zacarias Nunes"/>
    <x v="0"/>
    <x v="135"/>
    <x v="1"/>
    <n v="15"/>
    <x v="2"/>
    <x v="0"/>
    <n v="30"/>
    <s v="Yes"/>
    <n v="20"/>
    <n v="7"/>
    <x v="12"/>
  </r>
  <r>
    <n v="3368"/>
    <s v="Ana Clara Barreto"/>
    <x v="2"/>
    <x v="136"/>
    <x v="0"/>
    <n v="10"/>
    <x v="1"/>
    <x v="1"/>
    <s v="-"/>
    <s v="Yes"/>
    <n v="20"/>
    <n v="10"/>
    <x v="2"/>
  </r>
  <r>
    <n v="3369"/>
    <s v="Bruno Henrique"/>
    <x v="1"/>
    <x v="137"/>
    <x v="1"/>
    <n v="5"/>
    <x v="2"/>
    <x v="1"/>
    <s v="-"/>
    <s v="No"/>
    <n v="0"/>
    <n v="1"/>
    <x v="4"/>
  </r>
  <r>
    <n v="3370"/>
    <s v="Carlos Eduardo"/>
    <x v="0"/>
    <x v="138"/>
    <x v="0"/>
    <n v="15"/>
    <x v="0"/>
    <x v="0"/>
    <n v="30"/>
    <s v="Yes"/>
    <n v="20"/>
    <n v="15"/>
    <x v="14"/>
  </r>
  <r>
    <n v="3371"/>
    <s v="Débora Lima"/>
    <x v="2"/>
    <x v="139"/>
    <x v="1"/>
    <n v="10"/>
    <x v="0"/>
    <x v="1"/>
    <s v="-"/>
    <s v="Yes"/>
    <n v="20"/>
    <n v="5"/>
    <x v="13"/>
  </r>
  <r>
    <n v="3372"/>
    <s v="Elisa Neves"/>
    <x v="1"/>
    <x v="140"/>
    <x v="0"/>
    <n v="5"/>
    <x v="1"/>
    <x v="1"/>
    <s v="-"/>
    <s v="No"/>
    <n v="0"/>
    <n v="0"/>
    <x v="1"/>
  </r>
  <r>
    <n v="3373"/>
    <s v="Fabiano Gomes"/>
    <x v="0"/>
    <x v="141"/>
    <x v="1"/>
    <n v="15"/>
    <x v="2"/>
    <x v="0"/>
    <n v="30"/>
    <s v="Yes"/>
    <n v="20"/>
    <n v="20"/>
    <x v="8"/>
  </r>
  <r>
    <n v="3374"/>
    <s v="Gisele Oliveira"/>
    <x v="2"/>
    <x v="142"/>
    <x v="0"/>
    <n v="10"/>
    <x v="2"/>
    <x v="1"/>
    <s v="-"/>
    <s v="Yes"/>
    <n v="20"/>
    <n v="12"/>
    <x v="10"/>
  </r>
  <r>
    <n v="3375"/>
    <s v="Héctor Silva"/>
    <x v="1"/>
    <x v="143"/>
    <x v="1"/>
    <n v="5"/>
    <x v="0"/>
    <x v="1"/>
    <s v="-"/>
    <s v="No"/>
    <n v="0"/>
    <n v="2"/>
    <x v="11"/>
  </r>
  <r>
    <n v="3376"/>
    <s v="Igor Martins"/>
    <x v="0"/>
    <x v="144"/>
    <x v="0"/>
    <n v="15"/>
    <x v="1"/>
    <x v="0"/>
    <n v="30"/>
    <s v="Yes"/>
    <n v="20"/>
    <n v="5"/>
    <x v="0"/>
  </r>
  <r>
    <n v="3377"/>
    <s v="Joana Figueiredo"/>
    <x v="2"/>
    <x v="145"/>
    <x v="1"/>
    <n v="10"/>
    <x v="0"/>
    <x v="1"/>
    <s v="-"/>
    <s v="Yes"/>
    <n v="20"/>
    <n v="10"/>
    <x v="2"/>
  </r>
  <r>
    <n v="3378"/>
    <s v="Kleber Machado"/>
    <x v="1"/>
    <x v="146"/>
    <x v="0"/>
    <n v="5"/>
    <x v="2"/>
    <x v="1"/>
    <s v="-"/>
    <s v="No"/>
    <n v="0"/>
    <n v="0"/>
    <x v="1"/>
  </r>
  <r>
    <n v="3379"/>
    <s v="Luciana Santos"/>
    <x v="0"/>
    <x v="147"/>
    <x v="1"/>
    <n v="15"/>
    <x v="0"/>
    <x v="0"/>
    <n v="30"/>
    <s v="Yes"/>
    <n v="20"/>
    <n v="3"/>
    <x v="3"/>
  </r>
  <r>
    <n v="3380"/>
    <s v="Marcos Teixeira"/>
    <x v="2"/>
    <x v="148"/>
    <x v="0"/>
    <n v="10"/>
    <x v="1"/>
    <x v="1"/>
    <s v="-"/>
    <s v="Yes"/>
    <n v="20"/>
    <n v="15"/>
    <x v="7"/>
  </r>
  <r>
    <n v="3381"/>
    <s v="Natalia Costa"/>
    <x v="1"/>
    <x v="149"/>
    <x v="1"/>
    <n v="5"/>
    <x v="0"/>
    <x v="1"/>
    <s v="-"/>
    <s v="No"/>
    <n v="0"/>
    <n v="1"/>
    <x v="4"/>
  </r>
  <r>
    <n v="3382"/>
    <s v="Oscar Ribeiro"/>
    <x v="0"/>
    <x v="150"/>
    <x v="0"/>
    <n v="15"/>
    <x v="2"/>
    <x v="0"/>
    <n v="30"/>
    <s v="Yes"/>
    <n v="20"/>
    <n v="7"/>
    <x v="12"/>
  </r>
  <r>
    <n v="3383"/>
    <s v="Patricia Almeida"/>
    <x v="2"/>
    <x v="151"/>
    <x v="1"/>
    <n v="10"/>
    <x v="0"/>
    <x v="1"/>
    <s v="-"/>
    <s v="Yes"/>
    <n v="20"/>
    <n v="10"/>
    <x v="2"/>
  </r>
  <r>
    <n v="3384"/>
    <s v="Quirino Junior"/>
    <x v="1"/>
    <x v="152"/>
    <x v="0"/>
    <n v="5"/>
    <x v="1"/>
    <x v="1"/>
    <s v="-"/>
    <s v="No"/>
    <n v="0"/>
    <n v="0"/>
    <x v="1"/>
  </r>
  <r>
    <n v="3385"/>
    <s v="Renata Machado"/>
    <x v="0"/>
    <x v="153"/>
    <x v="1"/>
    <n v="15"/>
    <x v="0"/>
    <x v="0"/>
    <n v="30"/>
    <s v="Yes"/>
    <n v="20"/>
    <n v="20"/>
    <x v="8"/>
  </r>
  <r>
    <n v="3386"/>
    <s v="Sônia Alves"/>
    <x v="2"/>
    <x v="154"/>
    <x v="0"/>
    <n v="10"/>
    <x v="2"/>
    <x v="1"/>
    <s v="-"/>
    <s v="Yes"/>
    <n v="20"/>
    <n v="15"/>
    <x v="7"/>
  </r>
  <r>
    <n v="3387"/>
    <s v="Tiago Nunes"/>
    <x v="1"/>
    <x v="155"/>
    <x v="1"/>
    <n v="5"/>
    <x v="0"/>
    <x v="1"/>
    <s v="-"/>
    <s v="No"/>
    <n v="0"/>
    <n v="1"/>
    <x v="4"/>
  </r>
  <r>
    <n v="3388"/>
    <s v="Ulysses Pereira"/>
    <x v="0"/>
    <x v="156"/>
    <x v="0"/>
    <n v="15"/>
    <x v="1"/>
    <x v="0"/>
    <n v="30"/>
    <s v="Yes"/>
    <n v="20"/>
    <n v="3"/>
    <x v="3"/>
  </r>
  <r>
    <n v="3389"/>
    <s v="Vanessa Lima"/>
    <x v="2"/>
    <x v="157"/>
    <x v="1"/>
    <n v="10"/>
    <x v="0"/>
    <x v="1"/>
    <s v="-"/>
    <s v="Yes"/>
    <n v="20"/>
    <n v="10"/>
    <x v="2"/>
  </r>
  <r>
    <n v="3390"/>
    <s v="Wagner Santos"/>
    <x v="1"/>
    <x v="158"/>
    <x v="0"/>
    <n v="5"/>
    <x v="2"/>
    <x v="1"/>
    <s v="-"/>
    <s v="No"/>
    <n v="0"/>
    <n v="0"/>
    <x v="1"/>
  </r>
  <r>
    <n v="3391"/>
    <s v="Xuxa Meneghel"/>
    <x v="0"/>
    <x v="159"/>
    <x v="1"/>
    <n v="15"/>
    <x v="0"/>
    <x v="0"/>
    <n v="30"/>
    <s v="Yes"/>
    <n v="20"/>
    <n v="15"/>
    <x v="14"/>
  </r>
  <r>
    <n v="3392"/>
    <s v="Yasmin Silva"/>
    <x v="2"/>
    <x v="160"/>
    <x v="0"/>
    <n v="10"/>
    <x v="1"/>
    <x v="1"/>
    <s v="-"/>
    <s v="Yes"/>
    <n v="20"/>
    <n v="15"/>
    <x v="7"/>
  </r>
  <r>
    <n v="3393"/>
    <s v="Zacarias de Souza"/>
    <x v="1"/>
    <x v="161"/>
    <x v="1"/>
    <n v="5"/>
    <x v="0"/>
    <x v="1"/>
    <s v="-"/>
    <s v="No"/>
    <n v="0"/>
    <n v="1"/>
    <x v="4"/>
  </r>
  <r>
    <n v="3394"/>
    <s v="André Lima"/>
    <x v="0"/>
    <x v="162"/>
    <x v="0"/>
    <n v="15"/>
    <x v="2"/>
    <x v="0"/>
    <n v="30"/>
    <s v="Yes"/>
    <n v="20"/>
    <n v="7"/>
    <x v="12"/>
  </r>
  <r>
    <n v="3395"/>
    <s v="Bianca Freitas"/>
    <x v="2"/>
    <x v="163"/>
    <x v="1"/>
    <n v="10"/>
    <x v="0"/>
    <x v="1"/>
    <s v="-"/>
    <s v="Yes"/>
    <n v="20"/>
    <n v="10"/>
    <x v="2"/>
  </r>
  <r>
    <n v="3396"/>
    <s v="Caio Mendes"/>
    <x v="1"/>
    <x v="164"/>
    <x v="0"/>
    <n v="5"/>
    <x v="1"/>
    <x v="1"/>
    <s v="-"/>
    <s v="No"/>
    <n v="0"/>
    <n v="0"/>
    <x v="1"/>
  </r>
  <r>
    <n v="3397"/>
    <s v="Daniela Moura"/>
    <x v="0"/>
    <x v="165"/>
    <x v="1"/>
    <n v="15"/>
    <x v="0"/>
    <x v="0"/>
    <n v="30"/>
    <s v="Yes"/>
    <n v="20"/>
    <n v="20"/>
    <x v="8"/>
  </r>
  <r>
    <n v="3398"/>
    <s v="Eduardo Costa"/>
    <x v="2"/>
    <x v="166"/>
    <x v="0"/>
    <n v="10"/>
    <x v="2"/>
    <x v="1"/>
    <s v="-"/>
    <s v="Yes"/>
    <n v="20"/>
    <n v="15"/>
    <x v="7"/>
  </r>
  <r>
    <n v="3399"/>
    <s v="Fernanda Gomes"/>
    <x v="1"/>
    <x v="167"/>
    <x v="1"/>
    <n v="5"/>
    <x v="0"/>
    <x v="1"/>
    <s v="-"/>
    <s v="No"/>
    <n v="0"/>
    <n v="1"/>
    <x v="4"/>
  </r>
  <r>
    <n v="3400"/>
    <s v="Guilherme Souza"/>
    <x v="0"/>
    <x v="168"/>
    <x v="0"/>
    <n v="15"/>
    <x v="1"/>
    <x v="0"/>
    <n v="30"/>
    <s v="Yes"/>
    <n v="20"/>
    <n v="5"/>
    <x v="0"/>
  </r>
  <r>
    <n v="3401"/>
    <s v="Helena Ribeiro"/>
    <x v="2"/>
    <x v="169"/>
    <x v="1"/>
    <n v="10"/>
    <x v="0"/>
    <x v="1"/>
    <s v="-"/>
    <s v="Yes"/>
    <n v="20"/>
    <n v="10"/>
    <x v="2"/>
  </r>
  <r>
    <n v="3402"/>
    <s v="Igor Santos"/>
    <x v="1"/>
    <x v="170"/>
    <x v="0"/>
    <n v="5"/>
    <x v="2"/>
    <x v="1"/>
    <s v="-"/>
    <s v="No"/>
    <n v="0"/>
    <n v="0"/>
    <x v="1"/>
  </r>
  <r>
    <n v="3403"/>
    <s v="João Carvalho"/>
    <x v="0"/>
    <x v="171"/>
    <x v="1"/>
    <n v="15"/>
    <x v="0"/>
    <x v="0"/>
    <n v="30"/>
    <s v="Yes"/>
    <n v="20"/>
    <n v="3"/>
    <x v="3"/>
  </r>
  <r>
    <n v="3404"/>
    <s v="Klara Fagundes"/>
    <x v="2"/>
    <x v="172"/>
    <x v="0"/>
    <n v="10"/>
    <x v="1"/>
    <x v="1"/>
    <s v="-"/>
    <s v="Yes"/>
    <n v="20"/>
    <n v="15"/>
    <x v="7"/>
  </r>
  <r>
    <n v="3405"/>
    <s v="Lúcia Mendonça"/>
    <x v="1"/>
    <x v="173"/>
    <x v="1"/>
    <n v="5"/>
    <x v="0"/>
    <x v="1"/>
    <s v="-"/>
    <s v="No"/>
    <n v="0"/>
    <n v="1"/>
    <x v="4"/>
  </r>
  <r>
    <n v="3406"/>
    <s v="Marcelo Novaes"/>
    <x v="1"/>
    <x v="174"/>
    <x v="0"/>
    <n v="5"/>
    <x v="0"/>
    <x v="1"/>
    <s v="-"/>
    <s v="No"/>
    <n v="0"/>
    <n v="0"/>
    <x v="1"/>
  </r>
  <r>
    <n v="3407"/>
    <s v="Nina Pacheco"/>
    <x v="0"/>
    <x v="175"/>
    <x v="1"/>
    <n v="15"/>
    <x v="2"/>
    <x v="0"/>
    <n v="30"/>
    <s v="Yes"/>
    <n v="20"/>
    <n v="7"/>
    <x v="12"/>
  </r>
  <r>
    <n v="3408"/>
    <s v="Olívia Rios"/>
    <x v="2"/>
    <x v="176"/>
    <x v="0"/>
    <n v="10"/>
    <x v="1"/>
    <x v="1"/>
    <s v="-"/>
    <s v="Yes"/>
    <n v="20"/>
    <n v="10"/>
    <x v="2"/>
  </r>
  <r>
    <n v="3409"/>
    <s v="Paulo Quintana"/>
    <x v="1"/>
    <x v="177"/>
    <x v="1"/>
    <n v="5"/>
    <x v="2"/>
    <x v="1"/>
    <s v="-"/>
    <s v="No"/>
    <n v="0"/>
    <n v="1"/>
    <x v="4"/>
  </r>
  <r>
    <n v="3410"/>
    <s v="Raquel Domingos"/>
    <x v="0"/>
    <x v="178"/>
    <x v="0"/>
    <n v="15"/>
    <x v="0"/>
    <x v="0"/>
    <n v="30"/>
    <s v="Yes"/>
    <n v="20"/>
    <n v="15"/>
    <x v="14"/>
  </r>
  <r>
    <n v="3411"/>
    <s v="Samuel Viana"/>
    <x v="2"/>
    <x v="179"/>
    <x v="1"/>
    <n v="10"/>
    <x v="0"/>
    <x v="1"/>
    <s v="-"/>
    <s v="Yes"/>
    <n v="20"/>
    <n v="5"/>
    <x v="13"/>
  </r>
  <r>
    <n v="3412"/>
    <s v="Tatiane Rocha"/>
    <x v="1"/>
    <x v="180"/>
    <x v="0"/>
    <n v="5"/>
    <x v="1"/>
    <x v="1"/>
    <s v="-"/>
    <s v="No"/>
    <n v="0"/>
    <n v="0"/>
    <x v="1"/>
  </r>
  <r>
    <n v="3413"/>
    <s v="Ulysses Farias"/>
    <x v="0"/>
    <x v="181"/>
    <x v="1"/>
    <n v="15"/>
    <x v="2"/>
    <x v="0"/>
    <n v="30"/>
    <s v="Yes"/>
    <n v="20"/>
    <n v="20"/>
    <x v="8"/>
  </r>
  <r>
    <n v="3414"/>
    <s v="Vanessa Moreira"/>
    <x v="2"/>
    <x v="182"/>
    <x v="0"/>
    <n v="10"/>
    <x v="2"/>
    <x v="1"/>
    <s v="-"/>
    <s v="Yes"/>
    <n v="20"/>
    <n v="12"/>
    <x v="10"/>
  </r>
  <r>
    <n v="3415"/>
    <s v="William Carvalho"/>
    <x v="1"/>
    <x v="183"/>
    <x v="1"/>
    <n v="5"/>
    <x v="0"/>
    <x v="1"/>
    <s v="-"/>
    <s v="No"/>
    <n v="0"/>
    <n v="2"/>
    <x v="11"/>
  </r>
  <r>
    <n v="3416"/>
    <s v="Ximena Barros"/>
    <x v="0"/>
    <x v="184"/>
    <x v="0"/>
    <n v="15"/>
    <x v="1"/>
    <x v="0"/>
    <n v="30"/>
    <s v="Yes"/>
    <n v="20"/>
    <n v="5"/>
    <x v="0"/>
  </r>
  <r>
    <n v="3417"/>
    <s v="Yara Machado"/>
    <x v="2"/>
    <x v="185"/>
    <x v="1"/>
    <n v="10"/>
    <x v="0"/>
    <x v="1"/>
    <s v="-"/>
    <s v="Yes"/>
    <n v="20"/>
    <n v="10"/>
    <x v="2"/>
  </r>
  <r>
    <n v="3418"/>
    <s v="Zacarias Costa"/>
    <x v="1"/>
    <x v="186"/>
    <x v="0"/>
    <n v="5"/>
    <x v="2"/>
    <x v="1"/>
    <s v="-"/>
    <s v="No"/>
    <n v="0"/>
    <n v="0"/>
    <x v="1"/>
  </r>
  <r>
    <n v="3419"/>
    <s v="André Lopes"/>
    <x v="0"/>
    <x v="187"/>
    <x v="1"/>
    <n v="15"/>
    <x v="0"/>
    <x v="0"/>
    <n v="30"/>
    <s v="Yes"/>
    <n v="20"/>
    <n v="3"/>
    <x v="3"/>
  </r>
  <r>
    <n v="3420"/>
    <s v="Beatriz Souza"/>
    <x v="2"/>
    <x v="188"/>
    <x v="0"/>
    <n v="10"/>
    <x v="1"/>
    <x v="1"/>
    <s v="-"/>
    <s v="Yes"/>
    <n v="20"/>
    <n v="15"/>
    <x v="7"/>
  </r>
  <r>
    <n v="3421"/>
    <s v="Caio Pereira"/>
    <x v="1"/>
    <x v="189"/>
    <x v="1"/>
    <n v="5"/>
    <x v="0"/>
    <x v="1"/>
    <s v="-"/>
    <s v="No"/>
    <n v="0"/>
    <n v="1"/>
    <x v="4"/>
  </r>
  <r>
    <n v="3422"/>
    <s v="Daniela Araújo"/>
    <x v="0"/>
    <x v="190"/>
    <x v="0"/>
    <n v="15"/>
    <x v="2"/>
    <x v="0"/>
    <n v="30"/>
    <s v="Yes"/>
    <n v="20"/>
    <n v="7"/>
    <x v="12"/>
  </r>
  <r>
    <n v="3423"/>
    <s v="Eduardo Santos"/>
    <x v="2"/>
    <x v="191"/>
    <x v="1"/>
    <n v="10"/>
    <x v="0"/>
    <x v="1"/>
    <s v="-"/>
    <s v="Yes"/>
    <n v="20"/>
    <n v="10"/>
    <x v="2"/>
  </r>
  <r>
    <n v="3424"/>
    <s v="Fernanda Lima"/>
    <x v="1"/>
    <x v="192"/>
    <x v="0"/>
    <n v="5"/>
    <x v="1"/>
    <x v="1"/>
    <s v="-"/>
    <s v="No"/>
    <n v="0"/>
    <n v="0"/>
    <x v="1"/>
  </r>
  <r>
    <n v="3425"/>
    <s v="Gabriel Teixeira"/>
    <x v="0"/>
    <x v="193"/>
    <x v="1"/>
    <n v="15"/>
    <x v="0"/>
    <x v="0"/>
    <n v="30"/>
    <s v="Yes"/>
    <n v="20"/>
    <n v="20"/>
    <x v="8"/>
  </r>
  <r>
    <n v="3426"/>
    <s v="Helena Ribeiro"/>
    <x v="2"/>
    <x v="194"/>
    <x v="0"/>
    <n v="10"/>
    <x v="2"/>
    <x v="1"/>
    <s v="-"/>
    <s v="Yes"/>
    <n v="20"/>
    <n v="15"/>
    <x v="7"/>
  </r>
  <r>
    <n v="3427"/>
    <s v="Igor Mendes"/>
    <x v="1"/>
    <x v="195"/>
    <x v="1"/>
    <n v="5"/>
    <x v="0"/>
    <x v="1"/>
    <s v="-"/>
    <s v="No"/>
    <n v="0"/>
    <n v="1"/>
    <x v="4"/>
  </r>
  <r>
    <n v="3428"/>
    <s v="Joana Silveira"/>
    <x v="0"/>
    <x v="196"/>
    <x v="0"/>
    <n v="15"/>
    <x v="1"/>
    <x v="0"/>
    <n v="30"/>
    <s v="Yes"/>
    <n v="20"/>
    <n v="3"/>
    <x v="3"/>
  </r>
  <r>
    <n v="3429"/>
    <s v="Lucas Martins"/>
    <x v="2"/>
    <x v="197"/>
    <x v="1"/>
    <n v="10"/>
    <x v="0"/>
    <x v="1"/>
    <s v="-"/>
    <s v="Yes"/>
    <n v="20"/>
    <n v="10"/>
    <x v="2"/>
  </r>
  <r>
    <n v="3430"/>
    <s v="Marcela Gouveia"/>
    <x v="1"/>
    <x v="198"/>
    <x v="0"/>
    <n v="5"/>
    <x v="2"/>
    <x v="1"/>
    <s v="-"/>
    <s v="No"/>
    <n v="0"/>
    <n v="0"/>
    <x v="1"/>
  </r>
  <r>
    <n v="3431"/>
    <s v="Nicolas Borges"/>
    <x v="0"/>
    <x v="199"/>
    <x v="1"/>
    <n v="15"/>
    <x v="0"/>
    <x v="0"/>
    <n v="30"/>
    <s v="Yes"/>
    <n v="20"/>
    <n v="15"/>
    <x v="14"/>
  </r>
  <r>
    <n v="3432"/>
    <s v="Olivia Freitas"/>
    <x v="2"/>
    <x v="200"/>
    <x v="0"/>
    <n v="10"/>
    <x v="1"/>
    <x v="1"/>
    <s v="-"/>
    <s v="Yes"/>
    <n v="20"/>
    <n v="15"/>
    <x v="7"/>
  </r>
  <r>
    <n v="3433"/>
    <s v="Paulo Nogueira"/>
    <x v="1"/>
    <x v="201"/>
    <x v="1"/>
    <n v="5"/>
    <x v="0"/>
    <x v="1"/>
    <s v="-"/>
    <s v="No"/>
    <n v="0"/>
    <n v="1"/>
    <x v="4"/>
  </r>
  <r>
    <n v="3434"/>
    <s v="Raquel Andrade"/>
    <x v="0"/>
    <x v="202"/>
    <x v="0"/>
    <n v="15"/>
    <x v="2"/>
    <x v="0"/>
    <n v="30"/>
    <s v="Yes"/>
    <n v="20"/>
    <n v="7"/>
    <x v="12"/>
  </r>
  <r>
    <n v="3435"/>
    <s v="Sônia Carvalho"/>
    <x v="2"/>
    <x v="203"/>
    <x v="1"/>
    <n v="10"/>
    <x v="0"/>
    <x v="1"/>
    <s v="-"/>
    <s v="Yes"/>
    <n v="20"/>
    <n v="10"/>
    <x v="2"/>
  </r>
  <r>
    <n v="3436"/>
    <s v="Tiago Rodrigues"/>
    <x v="1"/>
    <x v="204"/>
    <x v="0"/>
    <n v="5"/>
    <x v="0"/>
    <x v="1"/>
    <s v="-"/>
    <s v="No"/>
    <n v="0"/>
    <n v="0"/>
    <x v="1"/>
  </r>
  <r>
    <n v="3437"/>
    <s v="Ursula Monteiro"/>
    <x v="0"/>
    <x v="205"/>
    <x v="1"/>
    <n v="15"/>
    <x v="2"/>
    <x v="0"/>
    <n v="30"/>
    <s v="Yes"/>
    <n v="20"/>
    <n v="7"/>
    <x v="12"/>
  </r>
  <r>
    <n v="3438"/>
    <s v="Vanessa Pereira"/>
    <x v="2"/>
    <x v="206"/>
    <x v="0"/>
    <n v="10"/>
    <x v="1"/>
    <x v="1"/>
    <s v="-"/>
    <s v="Yes"/>
    <n v="20"/>
    <n v="10"/>
    <x v="2"/>
  </r>
  <r>
    <n v="3439"/>
    <s v="Walter Silva"/>
    <x v="1"/>
    <x v="207"/>
    <x v="1"/>
    <n v="5"/>
    <x v="2"/>
    <x v="1"/>
    <s v="-"/>
    <s v="No"/>
    <n v="0"/>
    <n v="1"/>
    <x v="4"/>
  </r>
  <r>
    <n v="3440"/>
    <s v="Xavier Almeida"/>
    <x v="0"/>
    <x v="208"/>
    <x v="0"/>
    <n v="15"/>
    <x v="0"/>
    <x v="0"/>
    <n v="30"/>
    <s v="Yes"/>
    <n v="20"/>
    <n v="15"/>
    <x v="14"/>
  </r>
  <r>
    <n v="3441"/>
    <s v="Yasmine Correia"/>
    <x v="2"/>
    <x v="209"/>
    <x v="1"/>
    <n v="10"/>
    <x v="0"/>
    <x v="1"/>
    <s v="-"/>
    <s v="Yes"/>
    <n v="20"/>
    <n v="5"/>
    <x v="13"/>
  </r>
  <r>
    <n v="3442"/>
    <s v="Zacarias Almeida"/>
    <x v="1"/>
    <x v="210"/>
    <x v="0"/>
    <n v="5"/>
    <x v="1"/>
    <x v="1"/>
    <s v="-"/>
    <s v="No"/>
    <n v="0"/>
    <n v="0"/>
    <x v="1"/>
  </r>
  <r>
    <n v="3443"/>
    <s v="Amanda Costa"/>
    <x v="0"/>
    <x v="211"/>
    <x v="1"/>
    <n v="15"/>
    <x v="2"/>
    <x v="0"/>
    <n v="30"/>
    <s v="Yes"/>
    <n v="20"/>
    <n v="20"/>
    <x v="8"/>
  </r>
  <r>
    <n v="3444"/>
    <s v="Bruno Ferreira"/>
    <x v="2"/>
    <x v="212"/>
    <x v="0"/>
    <n v="10"/>
    <x v="2"/>
    <x v="1"/>
    <s v="-"/>
    <s v="Yes"/>
    <n v="20"/>
    <n v="12"/>
    <x v="10"/>
  </r>
  <r>
    <n v="3445"/>
    <s v="Carla Dias"/>
    <x v="1"/>
    <x v="213"/>
    <x v="1"/>
    <n v="5"/>
    <x v="0"/>
    <x v="1"/>
    <s v="-"/>
    <s v="No"/>
    <n v="0"/>
    <n v="2"/>
    <x v="11"/>
  </r>
  <r>
    <n v="3446"/>
    <s v="Diogo Martins"/>
    <x v="0"/>
    <x v="214"/>
    <x v="0"/>
    <n v="15"/>
    <x v="1"/>
    <x v="0"/>
    <n v="30"/>
    <s v="Yes"/>
    <n v="20"/>
    <n v="5"/>
    <x v="0"/>
  </r>
  <r>
    <n v="3447"/>
    <s v="Elisa Campos"/>
    <x v="2"/>
    <x v="215"/>
    <x v="1"/>
    <n v="10"/>
    <x v="0"/>
    <x v="1"/>
    <s v="-"/>
    <s v="Yes"/>
    <n v="20"/>
    <n v="10"/>
    <x v="2"/>
  </r>
  <r>
    <n v="3448"/>
    <s v="Fabiana Lima"/>
    <x v="1"/>
    <x v="216"/>
    <x v="0"/>
    <n v="5"/>
    <x v="2"/>
    <x v="1"/>
    <s v="-"/>
    <s v="No"/>
    <n v="0"/>
    <n v="0"/>
    <x v="1"/>
  </r>
  <r>
    <n v="3449"/>
    <s v="Gabriel Santos"/>
    <x v="0"/>
    <x v="217"/>
    <x v="1"/>
    <n v="15"/>
    <x v="0"/>
    <x v="0"/>
    <n v="30"/>
    <s v="Yes"/>
    <n v="20"/>
    <n v="3"/>
    <x v="3"/>
  </r>
  <r>
    <n v="3450"/>
    <s v="Helena Ferreira"/>
    <x v="2"/>
    <x v="218"/>
    <x v="0"/>
    <n v="10"/>
    <x v="1"/>
    <x v="1"/>
    <s v="-"/>
    <s v="Yes"/>
    <n v="20"/>
    <n v="15"/>
    <x v="7"/>
  </r>
  <r>
    <n v="3451"/>
    <s v="Ígor Nunes"/>
    <x v="1"/>
    <x v="219"/>
    <x v="1"/>
    <n v="5"/>
    <x v="0"/>
    <x v="1"/>
    <s v="-"/>
    <s v="No"/>
    <n v="0"/>
    <n v="1"/>
    <x v="4"/>
  </r>
  <r>
    <n v="3452"/>
    <s v="Joana Silveira"/>
    <x v="0"/>
    <x v="220"/>
    <x v="0"/>
    <n v="15"/>
    <x v="2"/>
    <x v="0"/>
    <n v="30"/>
    <s v="Yes"/>
    <n v="20"/>
    <n v="7"/>
    <x v="12"/>
  </r>
  <r>
    <n v="3453"/>
    <s v="Kléber Oliveira"/>
    <x v="2"/>
    <x v="221"/>
    <x v="1"/>
    <n v="10"/>
    <x v="0"/>
    <x v="1"/>
    <s v="-"/>
    <s v="Yes"/>
    <n v="20"/>
    <n v="10"/>
    <x v="2"/>
  </r>
  <r>
    <n v="3454"/>
    <s v="Luciana Morais"/>
    <x v="1"/>
    <x v="222"/>
    <x v="0"/>
    <n v="5"/>
    <x v="1"/>
    <x v="1"/>
    <s v="-"/>
    <s v="No"/>
    <n v="0"/>
    <n v="0"/>
    <x v="1"/>
  </r>
  <r>
    <n v="3455"/>
    <s v="Marcos Vinícius"/>
    <x v="0"/>
    <x v="223"/>
    <x v="1"/>
    <n v="15"/>
    <x v="0"/>
    <x v="0"/>
    <n v="30"/>
    <s v="Yes"/>
    <n v="20"/>
    <n v="20"/>
    <x v="8"/>
  </r>
  <r>
    <n v="3456"/>
    <s v="Natália Barros"/>
    <x v="2"/>
    <x v="224"/>
    <x v="0"/>
    <n v="10"/>
    <x v="2"/>
    <x v="1"/>
    <s v="-"/>
    <s v="Yes"/>
    <n v="20"/>
    <n v="15"/>
    <x v="7"/>
  </r>
  <r>
    <n v="3457"/>
    <s v="Oscar Sampaio"/>
    <x v="1"/>
    <x v="225"/>
    <x v="1"/>
    <n v="5"/>
    <x v="0"/>
    <x v="1"/>
    <s v="-"/>
    <s v="No"/>
    <n v="0"/>
    <n v="1"/>
    <x v="4"/>
  </r>
  <r>
    <n v="3458"/>
    <s v="Patrícia Leite"/>
    <x v="0"/>
    <x v="226"/>
    <x v="0"/>
    <n v="15"/>
    <x v="1"/>
    <x v="0"/>
    <n v="30"/>
    <s v="Yes"/>
    <n v="20"/>
    <n v="3"/>
    <x v="3"/>
  </r>
  <r>
    <n v="3459"/>
    <s v="Quênia Rocha"/>
    <x v="2"/>
    <x v="227"/>
    <x v="1"/>
    <n v="10"/>
    <x v="0"/>
    <x v="1"/>
    <s v="-"/>
    <s v="Yes"/>
    <n v="20"/>
    <n v="10"/>
    <x v="2"/>
  </r>
  <r>
    <n v="3460"/>
    <s v="Rafael Torres"/>
    <x v="1"/>
    <x v="228"/>
    <x v="0"/>
    <n v="5"/>
    <x v="2"/>
    <x v="1"/>
    <s v="-"/>
    <s v="No"/>
    <n v="0"/>
    <n v="0"/>
    <x v="1"/>
  </r>
  <r>
    <n v="3461"/>
    <s v="Sandra Gouveia"/>
    <x v="0"/>
    <x v="229"/>
    <x v="1"/>
    <n v="15"/>
    <x v="0"/>
    <x v="0"/>
    <n v="30"/>
    <s v="Yes"/>
    <n v="20"/>
    <n v="15"/>
    <x v="14"/>
  </r>
  <r>
    <n v="3462"/>
    <s v="Tiago Lacerda"/>
    <x v="2"/>
    <x v="230"/>
    <x v="0"/>
    <n v="10"/>
    <x v="1"/>
    <x v="1"/>
    <s v="-"/>
    <s v="Yes"/>
    <n v="20"/>
    <n v="15"/>
    <x v="7"/>
  </r>
  <r>
    <n v="3463"/>
    <s v="Ursula Fonseca"/>
    <x v="1"/>
    <x v="231"/>
    <x v="1"/>
    <n v="5"/>
    <x v="0"/>
    <x v="1"/>
    <s v="-"/>
    <s v="No"/>
    <n v="0"/>
    <n v="1"/>
    <x v="4"/>
  </r>
  <r>
    <n v="3464"/>
    <s v="Vanessa Andrade"/>
    <x v="0"/>
    <x v="232"/>
    <x v="0"/>
    <n v="15"/>
    <x v="2"/>
    <x v="0"/>
    <n v="30"/>
    <s v="Yes"/>
    <n v="20"/>
    <n v="7"/>
    <x v="12"/>
  </r>
  <r>
    <n v="3465"/>
    <s v="William Castro"/>
    <x v="2"/>
    <x v="233"/>
    <x v="1"/>
    <n v="10"/>
    <x v="0"/>
    <x v="1"/>
    <s v="-"/>
    <s v="Yes"/>
    <n v="20"/>
    <n v="10"/>
    <x v="2"/>
  </r>
  <r>
    <n v="3466"/>
    <s v="Xavier Monteiro"/>
    <x v="1"/>
    <x v="234"/>
    <x v="0"/>
    <n v="5"/>
    <x v="1"/>
    <x v="1"/>
    <s v="-"/>
    <s v="No"/>
    <n v="0"/>
    <n v="0"/>
    <x v="1"/>
  </r>
  <r>
    <n v="3467"/>
    <s v="Yasmin Figueira"/>
    <x v="0"/>
    <x v="235"/>
    <x v="1"/>
    <n v="15"/>
    <x v="0"/>
    <x v="0"/>
    <n v="30"/>
    <s v="Yes"/>
    <n v="20"/>
    <n v="15"/>
    <x v="14"/>
  </r>
  <r>
    <n v="3468"/>
    <s v="Zacarias Mendonça"/>
    <x v="2"/>
    <x v="236"/>
    <x v="0"/>
    <n v="10"/>
    <x v="2"/>
    <x v="1"/>
    <s v="-"/>
    <s v="Yes"/>
    <n v="20"/>
    <n v="12"/>
    <x v="10"/>
  </r>
  <r>
    <n v="3469"/>
    <s v="Amanda Menezes"/>
    <x v="1"/>
    <x v="237"/>
    <x v="1"/>
    <n v="5"/>
    <x v="0"/>
    <x v="1"/>
    <s v="-"/>
    <s v="No"/>
    <n v="0"/>
    <n v="2"/>
    <x v="11"/>
  </r>
  <r>
    <n v="3470"/>
    <s v="Bruno Santos"/>
    <x v="0"/>
    <x v="238"/>
    <x v="0"/>
    <n v="15"/>
    <x v="1"/>
    <x v="0"/>
    <n v="30"/>
    <s v="Yes"/>
    <n v="20"/>
    <n v="5"/>
    <x v="0"/>
  </r>
  <r>
    <n v="3471"/>
    <s v="Carla Ferreira"/>
    <x v="2"/>
    <x v="239"/>
    <x v="1"/>
    <n v="10"/>
    <x v="0"/>
    <x v="1"/>
    <s v="-"/>
    <s v="Yes"/>
    <n v="20"/>
    <n v="10"/>
    <x v="2"/>
  </r>
  <r>
    <n v="3472"/>
    <s v="Diogo Alves"/>
    <x v="1"/>
    <x v="240"/>
    <x v="0"/>
    <n v="5"/>
    <x v="2"/>
    <x v="1"/>
    <s v="-"/>
    <s v="No"/>
    <n v="0"/>
    <n v="0"/>
    <x v="1"/>
  </r>
  <r>
    <n v="3473"/>
    <s v="Elisa Neves"/>
    <x v="0"/>
    <x v="241"/>
    <x v="1"/>
    <n v="15"/>
    <x v="0"/>
    <x v="0"/>
    <n v="30"/>
    <s v="Yes"/>
    <n v="20"/>
    <n v="3"/>
    <x v="3"/>
  </r>
  <r>
    <n v="3474"/>
    <s v="Fabiano Pires"/>
    <x v="2"/>
    <x v="242"/>
    <x v="0"/>
    <n v="10"/>
    <x v="1"/>
    <x v="1"/>
    <s v="-"/>
    <s v="Yes"/>
    <n v="20"/>
    <n v="15"/>
    <x v="7"/>
  </r>
  <r>
    <n v="3475"/>
    <s v="Giovana Ribeiro"/>
    <x v="1"/>
    <x v="243"/>
    <x v="1"/>
    <n v="5"/>
    <x v="0"/>
    <x v="1"/>
    <s v="-"/>
    <s v="No"/>
    <n v="0"/>
    <n v="1"/>
    <x v="4"/>
  </r>
  <r>
    <n v="3476"/>
    <s v="Hélio Costa"/>
    <x v="0"/>
    <x v="244"/>
    <x v="0"/>
    <n v="15"/>
    <x v="2"/>
    <x v="0"/>
    <n v="30"/>
    <s v="Yes"/>
    <n v="20"/>
    <n v="7"/>
    <x v="12"/>
  </r>
  <r>
    <n v="3477"/>
    <s v="Íris Loureiro"/>
    <x v="2"/>
    <x v="245"/>
    <x v="1"/>
    <n v="10"/>
    <x v="0"/>
    <x v="1"/>
    <s v="-"/>
    <s v="Yes"/>
    <n v="20"/>
    <n v="10"/>
    <x v="2"/>
  </r>
  <r>
    <n v="3478"/>
    <s v="João Pereira"/>
    <x v="1"/>
    <x v="246"/>
    <x v="0"/>
    <n v="5"/>
    <x v="1"/>
    <x v="1"/>
    <s v="-"/>
    <s v="No"/>
    <n v="0"/>
    <n v="0"/>
    <x v="1"/>
  </r>
  <r>
    <n v="3479"/>
    <s v="Klara Silva"/>
    <x v="0"/>
    <x v="247"/>
    <x v="1"/>
    <n v="15"/>
    <x v="0"/>
    <x v="0"/>
    <n v="30"/>
    <s v="Yes"/>
    <n v="20"/>
    <n v="20"/>
    <x v="8"/>
  </r>
  <r>
    <n v="3480"/>
    <s v="Luciana Barros"/>
    <x v="2"/>
    <x v="248"/>
    <x v="0"/>
    <n v="10"/>
    <x v="2"/>
    <x v="1"/>
    <s v="-"/>
    <s v="Yes"/>
    <n v="20"/>
    <n v="15"/>
    <x v="7"/>
  </r>
  <r>
    <n v="3481"/>
    <s v="Marcos Gomes"/>
    <x v="1"/>
    <x v="249"/>
    <x v="1"/>
    <n v="5"/>
    <x v="0"/>
    <x v="1"/>
    <s v="-"/>
    <s v="No"/>
    <n v="0"/>
    <n v="1"/>
    <x v="4"/>
  </r>
  <r>
    <n v="3482"/>
    <s v="Natália Soares"/>
    <x v="0"/>
    <x v="250"/>
    <x v="0"/>
    <n v="15"/>
    <x v="1"/>
    <x v="0"/>
    <n v="30"/>
    <s v="Yes"/>
    <n v="20"/>
    <n v="3"/>
    <x v="3"/>
  </r>
  <r>
    <n v="3483"/>
    <s v="Oscar Machado"/>
    <x v="2"/>
    <x v="251"/>
    <x v="1"/>
    <n v="10"/>
    <x v="0"/>
    <x v="1"/>
    <s v="-"/>
    <s v="Yes"/>
    <n v="20"/>
    <n v="10"/>
    <x v="2"/>
  </r>
  <r>
    <n v="3484"/>
    <s v="Patrícia Lima"/>
    <x v="1"/>
    <x v="252"/>
    <x v="0"/>
    <n v="5"/>
    <x v="2"/>
    <x v="1"/>
    <s v="-"/>
    <s v="No"/>
    <n v="0"/>
    <n v="0"/>
    <x v="1"/>
  </r>
  <r>
    <n v="3485"/>
    <s v="Quirino Neto"/>
    <x v="0"/>
    <x v="253"/>
    <x v="1"/>
    <n v="15"/>
    <x v="0"/>
    <x v="0"/>
    <n v="30"/>
    <s v="Yes"/>
    <n v="20"/>
    <n v="15"/>
    <x v="14"/>
  </r>
  <r>
    <n v="3486"/>
    <s v="Rafaela Souza"/>
    <x v="1"/>
    <x v="254"/>
    <x v="0"/>
    <n v="5"/>
    <x v="0"/>
    <x v="1"/>
    <s v="-"/>
    <s v="No"/>
    <n v="0"/>
    <n v="0"/>
    <x v="1"/>
  </r>
  <r>
    <n v="3487"/>
    <s v="Sandro Almeida"/>
    <x v="0"/>
    <x v="255"/>
    <x v="1"/>
    <n v="15"/>
    <x v="2"/>
    <x v="0"/>
    <n v="30"/>
    <s v="Yes"/>
    <n v="20"/>
    <n v="7"/>
    <x v="12"/>
  </r>
  <r>
    <n v="3488"/>
    <s v="Tânia Ribeiro"/>
    <x v="2"/>
    <x v="256"/>
    <x v="0"/>
    <n v="10"/>
    <x v="1"/>
    <x v="1"/>
    <s v="-"/>
    <s v="Yes"/>
    <n v="20"/>
    <n v="10"/>
    <x v="2"/>
  </r>
  <r>
    <n v="3489"/>
    <s v="Ugo Dias"/>
    <x v="1"/>
    <x v="257"/>
    <x v="1"/>
    <n v="5"/>
    <x v="2"/>
    <x v="1"/>
    <s v="-"/>
    <s v="No"/>
    <n v="0"/>
    <n v="1"/>
    <x v="4"/>
  </r>
  <r>
    <n v="3490"/>
    <s v="Valéria Lima"/>
    <x v="0"/>
    <x v="258"/>
    <x v="0"/>
    <n v="15"/>
    <x v="0"/>
    <x v="0"/>
    <n v="30"/>
    <s v="Yes"/>
    <n v="20"/>
    <n v="15"/>
    <x v="14"/>
  </r>
  <r>
    <n v="3491"/>
    <s v="William Fernandes"/>
    <x v="2"/>
    <x v="259"/>
    <x v="1"/>
    <n v="10"/>
    <x v="0"/>
    <x v="1"/>
    <s v="-"/>
    <s v="Yes"/>
    <n v="20"/>
    <n v="5"/>
    <x v="13"/>
  </r>
  <r>
    <n v="3492"/>
    <s v="Xuxa Mendes"/>
    <x v="1"/>
    <x v="260"/>
    <x v="0"/>
    <n v="5"/>
    <x v="1"/>
    <x v="1"/>
    <s v="-"/>
    <s v="No"/>
    <n v="0"/>
    <n v="0"/>
    <x v="1"/>
  </r>
  <r>
    <n v="3493"/>
    <s v="Ygor Farias"/>
    <x v="0"/>
    <x v="261"/>
    <x v="1"/>
    <n v="15"/>
    <x v="2"/>
    <x v="0"/>
    <n v="30"/>
    <s v="Yes"/>
    <n v="20"/>
    <n v="20"/>
    <x v="8"/>
  </r>
  <r>
    <n v="3494"/>
    <s v="Zilda Barros"/>
    <x v="2"/>
    <x v="262"/>
    <x v="0"/>
    <n v="10"/>
    <x v="2"/>
    <x v="1"/>
    <s v="-"/>
    <s v="Yes"/>
    <n v="20"/>
    <n v="12"/>
    <x v="10"/>
  </r>
  <r>
    <n v="3495"/>
    <s v="Amanda Santos"/>
    <x v="1"/>
    <x v="263"/>
    <x v="1"/>
    <n v="5"/>
    <x v="0"/>
    <x v="1"/>
    <s v="-"/>
    <s v="No"/>
    <n v="0"/>
    <n v="2"/>
    <x v="11"/>
  </r>
  <r>
    <n v="3496"/>
    <s v="Bruno Costa"/>
    <x v="0"/>
    <x v="264"/>
    <x v="0"/>
    <n v="15"/>
    <x v="1"/>
    <x v="0"/>
    <n v="30"/>
    <s v="Yes"/>
    <n v="20"/>
    <n v="5"/>
    <x v="0"/>
  </r>
  <r>
    <n v="3497"/>
    <s v="Carla Rodrigues"/>
    <x v="2"/>
    <x v="265"/>
    <x v="1"/>
    <n v="10"/>
    <x v="0"/>
    <x v="1"/>
    <s v="-"/>
    <s v="Yes"/>
    <n v="20"/>
    <n v="10"/>
    <x v="2"/>
  </r>
  <r>
    <n v="3498"/>
    <s v="Diogo Pereira"/>
    <x v="1"/>
    <x v="266"/>
    <x v="0"/>
    <n v="5"/>
    <x v="2"/>
    <x v="1"/>
    <s v="-"/>
    <s v="No"/>
    <n v="0"/>
    <n v="0"/>
    <x v="1"/>
  </r>
  <r>
    <n v="3499"/>
    <s v="Elisa Correia"/>
    <x v="0"/>
    <x v="267"/>
    <x v="1"/>
    <n v="15"/>
    <x v="0"/>
    <x v="0"/>
    <n v="30"/>
    <s v="Yes"/>
    <n v="20"/>
    <n v="3"/>
    <x v="3"/>
  </r>
  <r>
    <n v="3500"/>
    <s v="Fábio Lourenço"/>
    <x v="2"/>
    <x v="268"/>
    <x v="0"/>
    <n v="10"/>
    <x v="1"/>
    <x v="1"/>
    <s v="-"/>
    <s v="Yes"/>
    <n v="20"/>
    <n v="15"/>
    <x v="7"/>
  </r>
  <r>
    <n v="3501"/>
    <s v="Gabriela Neves"/>
    <x v="1"/>
    <x v="269"/>
    <x v="1"/>
    <n v="5"/>
    <x v="0"/>
    <x v="1"/>
    <s v="-"/>
    <s v="No"/>
    <n v="0"/>
    <n v="1"/>
    <x v="4"/>
  </r>
  <r>
    <n v="3502"/>
    <s v="Henrique Gonçalves"/>
    <x v="0"/>
    <x v="270"/>
    <x v="0"/>
    <n v="15"/>
    <x v="2"/>
    <x v="0"/>
    <n v="30"/>
    <s v="Yes"/>
    <n v="20"/>
    <n v="7"/>
    <x v="12"/>
  </r>
  <r>
    <n v="3503"/>
    <s v="Íris Santos"/>
    <x v="2"/>
    <x v="271"/>
    <x v="1"/>
    <n v="10"/>
    <x v="0"/>
    <x v="1"/>
    <s v="-"/>
    <s v="Yes"/>
    <n v="20"/>
    <n v="10"/>
    <x v="2"/>
  </r>
  <r>
    <n v="3504"/>
    <s v="João Marcelo Alves"/>
    <x v="1"/>
    <x v="272"/>
    <x v="0"/>
    <n v="5"/>
    <x v="1"/>
    <x v="1"/>
    <s v="-"/>
    <s v="No"/>
    <n v="0"/>
    <n v="0"/>
    <x v="1"/>
  </r>
  <r>
    <n v="3505"/>
    <s v="Klara Fonseca"/>
    <x v="0"/>
    <x v="273"/>
    <x v="1"/>
    <n v="15"/>
    <x v="0"/>
    <x v="0"/>
    <n v="30"/>
    <s v="Yes"/>
    <n v="20"/>
    <n v="20"/>
    <x v="8"/>
  </r>
  <r>
    <n v="3506"/>
    <s v="Lucas Mendonça"/>
    <x v="2"/>
    <x v="274"/>
    <x v="0"/>
    <n v="10"/>
    <x v="2"/>
    <x v="1"/>
    <s v="-"/>
    <s v="Yes"/>
    <n v="20"/>
    <n v="15"/>
    <x v="7"/>
  </r>
  <r>
    <n v="3507"/>
    <s v="Marcela Torres"/>
    <x v="1"/>
    <x v="275"/>
    <x v="1"/>
    <n v="5"/>
    <x v="0"/>
    <x v="1"/>
    <s v="-"/>
    <s v="No"/>
    <n v="0"/>
    <n v="1"/>
    <x v="4"/>
  </r>
  <r>
    <n v="3508"/>
    <s v="Natália Castro"/>
    <x v="0"/>
    <x v="276"/>
    <x v="0"/>
    <n v="15"/>
    <x v="1"/>
    <x v="0"/>
    <n v="30"/>
    <s v="Yes"/>
    <n v="20"/>
    <n v="3"/>
    <x v="3"/>
  </r>
  <r>
    <n v="3509"/>
    <s v="Oscar Martins"/>
    <x v="2"/>
    <x v="277"/>
    <x v="1"/>
    <n v="10"/>
    <x v="0"/>
    <x v="1"/>
    <s v="-"/>
    <s v="Yes"/>
    <n v="20"/>
    <n v="10"/>
    <x v="2"/>
  </r>
  <r>
    <n v="3510"/>
    <s v="Patrícia Oliveira"/>
    <x v="1"/>
    <x v="278"/>
    <x v="0"/>
    <n v="5"/>
    <x v="2"/>
    <x v="1"/>
    <s v="-"/>
    <s v="No"/>
    <n v="0"/>
    <n v="0"/>
    <x v="1"/>
  </r>
  <r>
    <n v="3511"/>
    <s v="Quentin Nogueira"/>
    <x v="0"/>
    <x v="279"/>
    <x v="1"/>
    <n v="15"/>
    <x v="0"/>
    <x v="0"/>
    <n v="30"/>
    <s v="Yes"/>
    <n v="20"/>
    <n v="15"/>
    <x v="14"/>
  </r>
  <r>
    <n v="3512"/>
    <s v="Raquel Silva"/>
    <x v="2"/>
    <x v="280"/>
    <x v="0"/>
    <n v="10"/>
    <x v="1"/>
    <x v="1"/>
    <s v="-"/>
    <s v="Yes"/>
    <n v="20"/>
    <n v="15"/>
    <x v="7"/>
  </r>
  <r>
    <n v="3513"/>
    <s v="Sandro Gomes"/>
    <x v="1"/>
    <x v="281"/>
    <x v="1"/>
    <n v="5"/>
    <x v="0"/>
    <x v="1"/>
    <s v="-"/>
    <s v="No"/>
    <n v="0"/>
    <n v="1"/>
    <x v="4"/>
  </r>
  <r>
    <n v="3514"/>
    <s v="Tânia Machado"/>
    <x v="0"/>
    <x v="282"/>
    <x v="0"/>
    <n v="15"/>
    <x v="2"/>
    <x v="0"/>
    <n v="30"/>
    <s v="Yes"/>
    <n v="20"/>
    <n v="7"/>
    <x v="12"/>
  </r>
  <r>
    <n v="3515"/>
    <s v="Ursula Silva"/>
    <x v="2"/>
    <x v="283"/>
    <x v="1"/>
    <n v="10"/>
    <x v="0"/>
    <x v="1"/>
    <s v="-"/>
    <s v="Yes"/>
    <n v="20"/>
    <n v="10"/>
    <x v="2"/>
  </r>
  <r>
    <n v="3516"/>
    <s v="Vanessa Moraes"/>
    <x v="1"/>
    <x v="284"/>
    <x v="0"/>
    <n v="5"/>
    <x v="1"/>
    <x v="1"/>
    <s v="-"/>
    <s v="No"/>
    <n v="0"/>
    <n v="0"/>
    <x v="1"/>
  </r>
  <r>
    <n v="3517"/>
    <s v="William Carvalho"/>
    <x v="0"/>
    <x v="285"/>
    <x v="1"/>
    <n v="15"/>
    <x v="0"/>
    <x v="0"/>
    <n v="30"/>
    <s v="Yes"/>
    <n v="20"/>
    <n v="20"/>
    <x v="8"/>
  </r>
  <r>
    <n v="3518"/>
    <s v="Xavier Reis"/>
    <x v="2"/>
    <x v="286"/>
    <x v="0"/>
    <n v="10"/>
    <x v="2"/>
    <x v="1"/>
    <s v="-"/>
    <s v="Yes"/>
    <n v="20"/>
    <n v="12"/>
    <x v="10"/>
  </r>
  <r>
    <n v="3519"/>
    <s v="Yasmin Rocha"/>
    <x v="1"/>
    <x v="287"/>
    <x v="1"/>
    <n v="5"/>
    <x v="0"/>
    <x v="1"/>
    <s v="-"/>
    <s v="No"/>
    <n v="0"/>
    <n v="2"/>
    <x v="11"/>
  </r>
  <r>
    <n v="3520"/>
    <s v="Zacarias Duarte"/>
    <x v="0"/>
    <x v="288"/>
    <x v="0"/>
    <n v="15"/>
    <x v="1"/>
    <x v="0"/>
    <n v="30"/>
    <s v="Yes"/>
    <n v="20"/>
    <n v="5"/>
    <x v="0"/>
  </r>
  <r>
    <n v="3521"/>
    <s v="Amanda Freitas"/>
    <x v="2"/>
    <x v="289"/>
    <x v="1"/>
    <n v="10"/>
    <x v="0"/>
    <x v="1"/>
    <s v="-"/>
    <s v="Yes"/>
    <n v="20"/>
    <n v="10"/>
    <x v="2"/>
  </r>
  <r>
    <n v="3522"/>
    <s v="Bruno Almeida"/>
    <x v="1"/>
    <x v="290"/>
    <x v="0"/>
    <n v="5"/>
    <x v="2"/>
    <x v="1"/>
    <s v="-"/>
    <s v="No"/>
    <n v="0"/>
    <n v="0"/>
    <x v="1"/>
  </r>
  <r>
    <n v="3523"/>
    <s v="Carla Siqueira"/>
    <x v="0"/>
    <x v="291"/>
    <x v="1"/>
    <n v="15"/>
    <x v="0"/>
    <x v="0"/>
    <n v="30"/>
    <s v="Yes"/>
    <n v="20"/>
    <n v="3"/>
    <x v="3"/>
  </r>
  <r>
    <n v="3524"/>
    <s v="Diogo Ramos"/>
    <x v="2"/>
    <x v="292"/>
    <x v="0"/>
    <n v="10"/>
    <x v="1"/>
    <x v="1"/>
    <s v="-"/>
    <s v="Yes"/>
    <n v="20"/>
    <n v="15"/>
    <x v="7"/>
  </r>
  <r>
    <n v="3525"/>
    <s v="Elisa Magalhães"/>
    <x v="1"/>
    <x v="293"/>
    <x v="1"/>
    <n v="5"/>
    <x v="0"/>
    <x v="1"/>
    <s v="-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compact="0" compactData="0" multipleFieldFilters="0" chartFormat="36">
  <location ref="C33:D37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dataField="1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numFmtId="44" outline="0" showAll="0"/>
    <pivotField compact="0" numFmtId="44" outline="0" showAll="0"/>
    <pivotField compact="0" numFmtId="44" outline="0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Contagem de Subscription Type" fld="6" subtotal="count" baseField="0" baseItem="0"/>
  </dataFields>
  <chartFormats count="5"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5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5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3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compact="0" compactData="0" multipleFieldFilters="0" chartFormat="32">
  <location ref="C23:D27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dataField="1" compact="0" numFmtId="44" outline="0" showAll="0"/>
    <pivotField compact="0" numFmtId="44" outline="0" showAll="0"/>
    <pivotField compact="0" numFmtId="44" outline="0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2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2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compact="0" compactData="0" multipleFieldFilters="0" chartFormat="32">
  <location ref="C13:D17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>
      <items count="3">
        <item x="1"/>
        <item x="0"/>
        <item t="default"/>
      </items>
    </pivotField>
    <pivotField dataField="1" compact="0" outline="0" showAll="0"/>
    <pivotField compact="0" outline="0" showAll="0"/>
    <pivotField compact="0" numFmtId="44" outline="0" showAll="0"/>
    <pivotField compact="0" numFmtId="44" outline="0" showAll="0"/>
    <pivotField compact="0" numFmtId="44" outline="0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1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compact="0" compactData="0" multipleFieldFilters="0" chartFormat="35">
  <location ref="C4:D7" firstHeaderRow="1" firstDataRow="1" firstDataCol="1" rowPageCount="1" colPageCount="1"/>
  <pivotFields count="13">
    <pivotField compact="0" outline="0" showAll="0"/>
    <pivotField compact="0" outline="0" showAll="0"/>
    <pivotField compact="0" outline="0" showAll="0">
      <items count="4">
        <item h="1" x="1"/>
        <item h="1" x="2"/>
        <item x="0"/>
        <item t="default"/>
      </items>
    </pivotField>
    <pivotField compact="0" numFmtId="14" outline="0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compact="0" outline="0" showAll="0" sortType="a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44" outline="0" showAll="0"/>
    <pivotField axis="axisPage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1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abela dinâmica1"/>
    <pivotTable tabId="3" name="Tabela dinâmica2"/>
    <pivotTable tabId="3" name="Tabela dinâmica3"/>
    <pivotTable tabId="3" name="Tabela dinâmica4"/>
  </pivotTables>
  <data>
    <tabular pivotCacheId="141065517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XBOX" rowHeight="241300"/>
</slicers>
</file>

<file path=xl/tables/table1.xml><?xml version="1.0" encoding="utf-8"?>
<table xmlns="http://schemas.openxmlformats.org/spreadsheetml/2006/main" id="1" name="Tabela1" displayName="Tabela1" ref="A1:M296" totalsRowShown="0" dataDxfId="16">
  <autoFilter ref="A1:M296">
    <filterColumn colId="7">
      <filters>
        <filter val="Yes"/>
      </filters>
    </filterColumn>
  </autoFilter>
  <tableColumns count="13">
    <tableColumn id="1" name="Subscriber ID" dataDxfId="15"/>
    <tableColumn id="2" name="Name" dataDxfId="14"/>
    <tableColumn id="3" name="Plan" dataDxfId="13"/>
    <tableColumn id="4" name="Start Date" dataDxfId="12"/>
    <tableColumn id="5" name="Auto Renewal" dataDxfId="11"/>
    <tableColumn id="6" name="Subscription Price" dataDxfId="10" dataCellStyle="Moeda"/>
    <tableColumn id="7" name="Subscription Type" dataDxfId="9"/>
    <tableColumn id="8" name="EA Play Season Pass" dataDxfId="8"/>
    <tableColumn id="13" name="EA Play Season Pass_x000a_Price" dataDxfId="7" dataCellStyle="Moeda"/>
    <tableColumn id="9" name="Minecraft Season Pass" dataDxfId="6"/>
    <tableColumn id="10" name="Minecraft Season Pass Price" dataDxfId="5" dataCellStyle="Moeda"/>
    <tableColumn id="11" name="Coupon Value" dataDxfId="4" dataCellStyle="Moeda"/>
    <tableColumn id="12" name="Total Value" dataDxfId="3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M25" totalsRowShown="0">
  <autoFilter ref="A1:M25"/>
  <tableColumns count="13">
    <tableColumn id="1" name="Subscriber ID"/>
    <tableColumn id="2" name="Name"/>
    <tableColumn id="3" name="Plan"/>
    <tableColumn id="4" name="Start Date" dataDxfId="0"/>
    <tableColumn id="5" name="Auto Renewal"/>
    <tableColumn id="6" name="Subscription Price"/>
    <tableColumn id="7" name="Subscription Type"/>
    <tableColumn id="8" name="EA Play Season Pass"/>
    <tableColumn id="9" name="EA Play Season Pass_x000a_Price"/>
    <tableColumn id="10" name="Minecraft Season Pass"/>
    <tableColumn id="11" name="Minecraft Season Pass Price"/>
    <tableColumn id="12" name="Coupon Value"/>
    <tableColumn id="13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16" zoomScaleNormal="100" workbookViewId="0">
      <selection activeCell="B6" sqref="B6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zoomScale="90" zoomScaleNormal="90" workbookViewId="0"/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5" bestFit="1" customWidth="1"/>
    <col min="5" max="5" width="18" bestFit="1" customWidth="1"/>
    <col min="6" max="6" width="14.625" bestFit="1" customWidth="1"/>
    <col min="7" max="7" width="22" bestFit="1" customWidth="1"/>
    <col min="8" max="8" width="20.625" bestFit="1" customWidth="1"/>
    <col min="9" max="9" width="20.625" customWidth="1"/>
    <col min="10" max="10" width="16.625" bestFit="1" customWidth="1"/>
    <col min="11" max="11" width="21.25" bestFit="1" customWidth="1"/>
    <col min="12" max="12" width="12.62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5"/>
  <sheetViews>
    <sheetView workbookViewId="0">
      <selection sqref="A1:M25"/>
    </sheetView>
  </sheetViews>
  <sheetFormatPr defaultRowHeight="14.25"/>
  <cols>
    <col min="1" max="1" width="14.875" customWidth="1"/>
    <col min="4" max="4" width="11.625" customWidth="1"/>
    <col min="5" max="5" width="14.875" customWidth="1"/>
    <col min="6" max="6" width="19.125" customWidth="1"/>
    <col min="7" max="7" width="18.875" customWidth="1"/>
    <col min="8" max="8" width="21.125" customWidth="1"/>
    <col min="10" max="10" width="23" customWidth="1"/>
    <col min="11" max="11" width="28.125" customWidth="1"/>
    <col min="12" max="12" width="15.125" customWidth="1"/>
    <col min="13" max="13" width="12.625" customWidth="1"/>
  </cols>
  <sheetData>
    <row r="1" spans="1:1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 spans="1:13">
      <c r="A2">
        <v>3518</v>
      </c>
      <c r="B2" t="s">
        <v>305</v>
      </c>
      <c r="C2" t="s">
        <v>34</v>
      </c>
      <c r="D2" s="18">
        <v>45635</v>
      </c>
      <c r="E2" t="s">
        <v>26</v>
      </c>
      <c r="F2">
        <v>10</v>
      </c>
      <c r="G2" t="s">
        <v>35</v>
      </c>
      <c r="H2" t="s">
        <v>30</v>
      </c>
      <c r="I2" t="s">
        <v>32</v>
      </c>
      <c r="J2" t="s">
        <v>26</v>
      </c>
      <c r="K2">
        <v>20</v>
      </c>
      <c r="L2">
        <v>12</v>
      </c>
      <c r="M2">
        <v>18</v>
      </c>
    </row>
    <row r="3" spans="1:13">
      <c r="A3">
        <v>3506</v>
      </c>
      <c r="B3" t="s">
        <v>296</v>
      </c>
      <c r="C3" t="s">
        <v>34</v>
      </c>
      <c r="D3" s="18">
        <v>45623</v>
      </c>
      <c r="E3" t="s">
        <v>26</v>
      </c>
      <c r="F3">
        <v>10</v>
      </c>
      <c r="G3" t="s">
        <v>35</v>
      </c>
      <c r="H3" t="s">
        <v>30</v>
      </c>
      <c r="I3" t="s">
        <v>32</v>
      </c>
      <c r="J3" t="s">
        <v>26</v>
      </c>
      <c r="K3">
        <v>20</v>
      </c>
      <c r="L3">
        <v>15</v>
      </c>
      <c r="M3">
        <v>15</v>
      </c>
    </row>
    <row r="4" spans="1:13">
      <c r="A4">
        <v>3233</v>
      </c>
      <c r="B4" t="s">
        <v>33</v>
      </c>
      <c r="C4" t="s">
        <v>34</v>
      </c>
      <c r="D4" s="18">
        <v>45332</v>
      </c>
      <c r="E4" t="s">
        <v>26</v>
      </c>
      <c r="F4">
        <v>10</v>
      </c>
      <c r="G4" t="s">
        <v>35</v>
      </c>
      <c r="H4" t="s">
        <v>30</v>
      </c>
      <c r="I4" t="s">
        <v>32</v>
      </c>
      <c r="J4" t="s">
        <v>26</v>
      </c>
      <c r="K4">
        <v>20</v>
      </c>
      <c r="L4">
        <v>10</v>
      </c>
      <c r="M4">
        <v>20</v>
      </c>
    </row>
    <row r="5" spans="1:13">
      <c r="A5">
        <v>3494</v>
      </c>
      <c r="B5" t="s">
        <v>285</v>
      </c>
      <c r="C5" t="s">
        <v>34</v>
      </c>
      <c r="D5" s="18">
        <v>45611</v>
      </c>
      <c r="E5" t="s">
        <v>26</v>
      </c>
      <c r="F5">
        <v>10</v>
      </c>
      <c r="G5" t="s">
        <v>35</v>
      </c>
      <c r="H5" t="s">
        <v>30</v>
      </c>
      <c r="I5" t="s">
        <v>32</v>
      </c>
      <c r="J5" t="s">
        <v>26</v>
      </c>
      <c r="K5">
        <v>20</v>
      </c>
      <c r="L5">
        <v>12</v>
      </c>
      <c r="M5">
        <v>18</v>
      </c>
    </row>
    <row r="6" spans="1:13">
      <c r="A6">
        <v>3480</v>
      </c>
      <c r="B6" t="s">
        <v>271</v>
      </c>
      <c r="C6" t="s">
        <v>34</v>
      </c>
      <c r="D6" s="18">
        <v>45597</v>
      </c>
      <c r="E6" t="s">
        <v>26</v>
      </c>
      <c r="F6">
        <v>10</v>
      </c>
      <c r="G6" t="s">
        <v>35</v>
      </c>
      <c r="H6" t="s">
        <v>30</v>
      </c>
      <c r="I6" t="s">
        <v>32</v>
      </c>
      <c r="J6" t="s">
        <v>26</v>
      </c>
      <c r="K6">
        <v>20</v>
      </c>
      <c r="L6">
        <v>15</v>
      </c>
      <c r="M6">
        <v>15</v>
      </c>
    </row>
    <row r="7" spans="1:13">
      <c r="A7">
        <v>3468</v>
      </c>
      <c r="B7" t="s">
        <v>260</v>
      </c>
      <c r="C7" t="s">
        <v>34</v>
      </c>
      <c r="D7" s="18">
        <v>45585</v>
      </c>
      <c r="E7" t="s">
        <v>26</v>
      </c>
      <c r="F7">
        <v>10</v>
      </c>
      <c r="G7" t="s">
        <v>35</v>
      </c>
      <c r="H7" t="s">
        <v>30</v>
      </c>
      <c r="I7" t="s">
        <v>32</v>
      </c>
      <c r="J7" t="s">
        <v>26</v>
      </c>
      <c r="K7">
        <v>20</v>
      </c>
      <c r="L7">
        <v>12</v>
      </c>
      <c r="M7">
        <v>18</v>
      </c>
    </row>
    <row r="8" spans="1:13">
      <c r="A8">
        <v>3456</v>
      </c>
      <c r="B8" t="s">
        <v>249</v>
      </c>
      <c r="C8" t="s">
        <v>34</v>
      </c>
      <c r="D8" s="18">
        <v>45573</v>
      </c>
      <c r="E8" t="s">
        <v>26</v>
      </c>
      <c r="F8">
        <v>10</v>
      </c>
      <c r="G8" t="s">
        <v>35</v>
      </c>
      <c r="H8" t="s">
        <v>30</v>
      </c>
      <c r="I8" t="s">
        <v>32</v>
      </c>
      <c r="J8" t="s">
        <v>26</v>
      </c>
      <c r="K8">
        <v>20</v>
      </c>
      <c r="L8">
        <v>15</v>
      </c>
      <c r="M8">
        <v>15</v>
      </c>
    </row>
    <row r="9" spans="1:13">
      <c r="A9">
        <v>3444</v>
      </c>
      <c r="B9" t="s">
        <v>240</v>
      </c>
      <c r="C9" t="s">
        <v>34</v>
      </c>
      <c r="D9" s="18">
        <v>45561</v>
      </c>
      <c r="E9" t="s">
        <v>26</v>
      </c>
      <c r="F9">
        <v>10</v>
      </c>
      <c r="G9" t="s">
        <v>35</v>
      </c>
      <c r="H9" t="s">
        <v>30</v>
      </c>
      <c r="I9" t="s">
        <v>32</v>
      </c>
      <c r="J9" t="s">
        <v>26</v>
      </c>
      <c r="K9">
        <v>20</v>
      </c>
      <c r="L9">
        <v>12</v>
      </c>
      <c r="M9">
        <v>18</v>
      </c>
    </row>
    <row r="10" spans="1:13">
      <c r="A10">
        <v>3426</v>
      </c>
      <c r="B10" t="s">
        <v>200</v>
      </c>
      <c r="C10" t="s">
        <v>34</v>
      </c>
      <c r="D10" s="18">
        <v>45543</v>
      </c>
      <c r="E10" t="s">
        <v>26</v>
      </c>
      <c r="F10">
        <v>10</v>
      </c>
      <c r="G10" t="s">
        <v>35</v>
      </c>
      <c r="H10" t="s">
        <v>30</v>
      </c>
      <c r="I10" t="s">
        <v>32</v>
      </c>
      <c r="J10" t="s">
        <v>26</v>
      </c>
      <c r="K10">
        <v>20</v>
      </c>
      <c r="L10">
        <v>15</v>
      </c>
      <c r="M10">
        <v>15</v>
      </c>
    </row>
    <row r="11" spans="1:13">
      <c r="A11">
        <v>3240</v>
      </c>
      <c r="B11" t="s">
        <v>42</v>
      </c>
      <c r="C11" t="s">
        <v>34</v>
      </c>
      <c r="D11" s="18">
        <v>45357</v>
      </c>
      <c r="E11" t="s">
        <v>26</v>
      </c>
      <c r="F11">
        <v>10</v>
      </c>
      <c r="G11" t="s">
        <v>35</v>
      </c>
      <c r="H11" t="s">
        <v>30</v>
      </c>
      <c r="I11" t="s">
        <v>32</v>
      </c>
      <c r="J11" t="s">
        <v>26</v>
      </c>
      <c r="K11">
        <v>20</v>
      </c>
      <c r="L11">
        <v>15</v>
      </c>
      <c r="M11">
        <v>15</v>
      </c>
    </row>
    <row r="12" spans="1:13">
      <c r="A12">
        <v>3414</v>
      </c>
      <c r="B12" t="s">
        <v>213</v>
      </c>
      <c r="C12" t="s">
        <v>34</v>
      </c>
      <c r="D12" s="18">
        <v>45531</v>
      </c>
      <c r="E12" t="s">
        <v>26</v>
      </c>
      <c r="F12">
        <v>10</v>
      </c>
      <c r="G12" t="s">
        <v>35</v>
      </c>
      <c r="H12" t="s">
        <v>30</v>
      </c>
      <c r="I12" t="s">
        <v>32</v>
      </c>
      <c r="J12" t="s">
        <v>26</v>
      </c>
      <c r="K12">
        <v>20</v>
      </c>
      <c r="L12">
        <v>12</v>
      </c>
      <c r="M12">
        <v>18</v>
      </c>
    </row>
    <row r="13" spans="1:13">
      <c r="A13">
        <v>3398</v>
      </c>
      <c r="B13" t="s">
        <v>197</v>
      </c>
      <c r="C13" t="s">
        <v>34</v>
      </c>
      <c r="D13" s="18">
        <v>45515</v>
      </c>
      <c r="E13" t="s">
        <v>26</v>
      </c>
      <c r="F13">
        <v>10</v>
      </c>
      <c r="G13" t="s">
        <v>35</v>
      </c>
      <c r="H13" t="s">
        <v>30</v>
      </c>
      <c r="I13" t="s">
        <v>32</v>
      </c>
      <c r="J13" t="s">
        <v>26</v>
      </c>
      <c r="K13">
        <v>20</v>
      </c>
      <c r="L13">
        <v>15</v>
      </c>
      <c r="M13">
        <v>15</v>
      </c>
    </row>
    <row r="14" spans="1:13">
      <c r="A14">
        <v>3386</v>
      </c>
      <c r="B14" t="s">
        <v>187</v>
      </c>
      <c r="C14" t="s">
        <v>34</v>
      </c>
      <c r="D14" s="18">
        <v>45503</v>
      </c>
      <c r="E14" t="s">
        <v>26</v>
      </c>
      <c r="F14">
        <v>10</v>
      </c>
      <c r="G14" t="s">
        <v>35</v>
      </c>
      <c r="H14" t="s">
        <v>30</v>
      </c>
      <c r="I14" t="s">
        <v>32</v>
      </c>
      <c r="J14" t="s">
        <v>26</v>
      </c>
      <c r="K14">
        <v>20</v>
      </c>
      <c r="L14">
        <v>15</v>
      </c>
      <c r="M14">
        <v>15</v>
      </c>
    </row>
    <row r="15" spans="1:13">
      <c r="A15">
        <v>3374</v>
      </c>
      <c r="B15" t="s">
        <v>175</v>
      </c>
      <c r="C15" t="s">
        <v>34</v>
      </c>
      <c r="D15" s="18">
        <v>45491</v>
      </c>
      <c r="E15" t="s">
        <v>26</v>
      </c>
      <c r="F15">
        <v>10</v>
      </c>
      <c r="G15" t="s">
        <v>35</v>
      </c>
      <c r="H15" t="s">
        <v>30</v>
      </c>
      <c r="I15" t="s">
        <v>32</v>
      </c>
      <c r="J15" t="s">
        <v>26</v>
      </c>
      <c r="K15">
        <v>20</v>
      </c>
      <c r="L15">
        <v>12</v>
      </c>
      <c r="M15">
        <v>18</v>
      </c>
    </row>
    <row r="16" spans="1:13">
      <c r="A16">
        <v>3356</v>
      </c>
      <c r="B16" t="s">
        <v>157</v>
      </c>
      <c r="C16" t="s">
        <v>34</v>
      </c>
      <c r="D16" s="18">
        <v>45473</v>
      </c>
      <c r="E16" t="s">
        <v>26</v>
      </c>
      <c r="F16">
        <v>10</v>
      </c>
      <c r="G16" t="s">
        <v>35</v>
      </c>
      <c r="H16" t="s">
        <v>30</v>
      </c>
      <c r="I16" t="s">
        <v>32</v>
      </c>
      <c r="J16" t="s">
        <v>26</v>
      </c>
      <c r="K16">
        <v>20</v>
      </c>
      <c r="L16">
        <v>15</v>
      </c>
      <c r="M16">
        <v>15</v>
      </c>
    </row>
    <row r="17" spans="1:13">
      <c r="A17">
        <v>3344</v>
      </c>
      <c r="B17" t="s">
        <v>146</v>
      </c>
      <c r="C17" t="s">
        <v>34</v>
      </c>
      <c r="D17" s="18">
        <v>45461</v>
      </c>
      <c r="E17" t="s">
        <v>26</v>
      </c>
      <c r="F17">
        <v>10</v>
      </c>
      <c r="G17" t="s">
        <v>35</v>
      </c>
      <c r="H17" t="s">
        <v>30</v>
      </c>
      <c r="I17" t="s">
        <v>32</v>
      </c>
      <c r="J17" t="s">
        <v>26</v>
      </c>
      <c r="K17">
        <v>20</v>
      </c>
      <c r="L17">
        <v>12</v>
      </c>
      <c r="M17">
        <v>18</v>
      </c>
    </row>
    <row r="18" spans="1:13">
      <c r="A18">
        <v>3334</v>
      </c>
      <c r="B18" t="s">
        <v>136</v>
      </c>
      <c r="C18" t="s">
        <v>34</v>
      </c>
      <c r="D18" s="18">
        <v>45451</v>
      </c>
      <c r="E18" t="s">
        <v>30</v>
      </c>
      <c r="F18">
        <v>10</v>
      </c>
      <c r="G18" t="s">
        <v>35</v>
      </c>
      <c r="H18" t="s">
        <v>30</v>
      </c>
      <c r="I18" t="s">
        <v>32</v>
      </c>
      <c r="J18" t="s">
        <v>26</v>
      </c>
      <c r="K18">
        <v>20</v>
      </c>
      <c r="L18">
        <v>12</v>
      </c>
      <c r="M18">
        <v>18</v>
      </c>
    </row>
    <row r="19" spans="1:13">
      <c r="A19">
        <v>3325</v>
      </c>
      <c r="B19" t="s">
        <v>127</v>
      </c>
      <c r="C19" t="s">
        <v>34</v>
      </c>
      <c r="D19" s="18">
        <v>45442</v>
      </c>
      <c r="E19" t="s">
        <v>26</v>
      </c>
      <c r="F19">
        <v>10</v>
      </c>
      <c r="G19" t="s">
        <v>35</v>
      </c>
      <c r="H19" t="s">
        <v>30</v>
      </c>
      <c r="I19" t="s">
        <v>32</v>
      </c>
      <c r="J19" t="s">
        <v>26</v>
      </c>
      <c r="K19">
        <v>20</v>
      </c>
      <c r="L19">
        <v>15</v>
      </c>
      <c r="M19">
        <v>15</v>
      </c>
    </row>
    <row r="20" spans="1:13">
      <c r="A20">
        <v>3316</v>
      </c>
      <c r="B20" t="s">
        <v>118</v>
      </c>
      <c r="C20" t="s">
        <v>34</v>
      </c>
      <c r="D20" s="18">
        <v>45433</v>
      </c>
      <c r="E20" t="s">
        <v>30</v>
      </c>
      <c r="F20">
        <v>10</v>
      </c>
      <c r="G20" t="s">
        <v>35</v>
      </c>
      <c r="H20" t="s">
        <v>30</v>
      </c>
      <c r="I20" t="s">
        <v>32</v>
      </c>
      <c r="J20" t="s">
        <v>26</v>
      </c>
      <c r="K20">
        <v>20</v>
      </c>
      <c r="L20">
        <v>15</v>
      </c>
      <c r="M20">
        <v>15</v>
      </c>
    </row>
    <row r="21" spans="1:13">
      <c r="A21">
        <v>3304</v>
      </c>
      <c r="B21" t="s">
        <v>106</v>
      </c>
      <c r="C21" t="s">
        <v>34</v>
      </c>
      <c r="D21" s="18">
        <v>45421</v>
      </c>
      <c r="E21" t="s">
        <v>30</v>
      </c>
      <c r="F21">
        <v>10</v>
      </c>
      <c r="G21" t="s">
        <v>35</v>
      </c>
      <c r="H21" t="s">
        <v>30</v>
      </c>
      <c r="I21" t="s">
        <v>32</v>
      </c>
      <c r="J21" t="s">
        <v>26</v>
      </c>
      <c r="K21">
        <v>20</v>
      </c>
      <c r="L21">
        <v>12</v>
      </c>
      <c r="M21">
        <v>18</v>
      </c>
    </row>
    <row r="22" spans="1:13">
      <c r="A22">
        <v>3286</v>
      </c>
      <c r="B22" t="s">
        <v>88</v>
      </c>
      <c r="C22" t="s">
        <v>34</v>
      </c>
      <c r="D22" s="18">
        <v>45403</v>
      </c>
      <c r="E22" t="s">
        <v>26</v>
      </c>
      <c r="F22">
        <v>10</v>
      </c>
      <c r="G22" t="s">
        <v>35</v>
      </c>
      <c r="H22" t="s">
        <v>30</v>
      </c>
      <c r="I22" t="s">
        <v>32</v>
      </c>
      <c r="J22" t="s">
        <v>26</v>
      </c>
      <c r="K22">
        <v>20</v>
      </c>
      <c r="L22">
        <v>15</v>
      </c>
      <c r="M22">
        <v>15</v>
      </c>
    </row>
    <row r="23" spans="1:13">
      <c r="A23">
        <v>3252</v>
      </c>
      <c r="B23" t="s">
        <v>54</v>
      </c>
      <c r="C23" t="s">
        <v>34</v>
      </c>
      <c r="D23" s="18">
        <v>45369</v>
      </c>
      <c r="E23" t="s">
        <v>26</v>
      </c>
      <c r="F23">
        <v>10</v>
      </c>
      <c r="G23" t="s">
        <v>35</v>
      </c>
      <c r="H23" t="s">
        <v>30</v>
      </c>
      <c r="I23" t="s">
        <v>32</v>
      </c>
      <c r="J23" t="s">
        <v>26</v>
      </c>
      <c r="K23">
        <v>20</v>
      </c>
      <c r="L23">
        <v>15</v>
      </c>
      <c r="M23">
        <v>15</v>
      </c>
    </row>
    <row r="24" spans="1:13">
      <c r="A24">
        <v>3274</v>
      </c>
      <c r="B24" t="s">
        <v>76</v>
      </c>
      <c r="C24" t="s">
        <v>34</v>
      </c>
      <c r="D24" s="18">
        <v>45391</v>
      </c>
      <c r="E24" t="s">
        <v>26</v>
      </c>
      <c r="F24">
        <v>10</v>
      </c>
      <c r="G24" t="s">
        <v>35</v>
      </c>
      <c r="H24" t="s">
        <v>30</v>
      </c>
      <c r="I24" t="s">
        <v>32</v>
      </c>
      <c r="J24" t="s">
        <v>26</v>
      </c>
      <c r="K24">
        <v>20</v>
      </c>
      <c r="L24">
        <v>12</v>
      </c>
      <c r="M24">
        <v>18</v>
      </c>
    </row>
    <row r="25" spans="1:13">
      <c r="A25">
        <v>3264</v>
      </c>
      <c r="B25" t="s">
        <v>66</v>
      </c>
      <c r="C25" t="s">
        <v>34</v>
      </c>
      <c r="D25" s="18">
        <v>45381</v>
      </c>
      <c r="E25" t="s">
        <v>26</v>
      </c>
      <c r="F25">
        <v>10</v>
      </c>
      <c r="G25" t="s">
        <v>35</v>
      </c>
      <c r="H25" t="s">
        <v>30</v>
      </c>
      <c r="I25" t="s">
        <v>32</v>
      </c>
      <c r="J25" t="s">
        <v>26</v>
      </c>
      <c r="K25">
        <v>20</v>
      </c>
      <c r="L25">
        <v>15</v>
      </c>
      <c r="M25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C2:F37"/>
  <sheetViews>
    <sheetView showGridLines="0" topLeftCell="A19" workbookViewId="0">
      <selection activeCell="D36" sqref="D36"/>
    </sheetView>
  </sheetViews>
  <sheetFormatPr defaultRowHeight="14.25"/>
  <cols>
    <col min="3" max="3" width="15.625" customWidth="1"/>
    <col min="4" max="4" width="29.875" customWidth="1"/>
    <col min="5" max="5" width="27.875" customWidth="1"/>
    <col min="6" max="7" width="12" bestFit="1" customWidth="1"/>
    <col min="8" max="8" width="10.25" customWidth="1"/>
    <col min="9" max="10" width="10.25" bestFit="1" customWidth="1"/>
    <col min="11" max="11" width="9.25" bestFit="1" customWidth="1"/>
    <col min="12" max="13" width="10.25" bestFit="1" customWidth="1"/>
    <col min="14" max="15" width="9.25" bestFit="1" customWidth="1"/>
    <col min="16" max="16" width="12" bestFit="1" customWidth="1"/>
    <col min="17" max="17" width="10.25" bestFit="1" customWidth="1"/>
    <col min="18" max="19" width="12" bestFit="1" customWidth="1"/>
  </cols>
  <sheetData>
    <row r="2" spans="3:4">
      <c r="C2" s="12" t="s">
        <v>17</v>
      </c>
      <c r="D2" t="s">
        <v>35</v>
      </c>
    </row>
    <row r="4" spans="3:4">
      <c r="C4" s="12" t="s">
        <v>15</v>
      </c>
      <c r="D4" t="s">
        <v>313</v>
      </c>
    </row>
    <row r="5" spans="3:4">
      <c r="C5" t="s">
        <v>30</v>
      </c>
      <c r="D5" s="13">
        <v>806</v>
      </c>
    </row>
    <row r="6" spans="3:4">
      <c r="C6" t="s">
        <v>26</v>
      </c>
      <c r="D6" s="13">
        <v>1502</v>
      </c>
    </row>
    <row r="7" spans="3:4">
      <c r="C7" t="s">
        <v>314</v>
      </c>
      <c r="D7" s="13">
        <v>2308</v>
      </c>
    </row>
    <row r="11" spans="3:4">
      <c r="C11" s="12" t="s">
        <v>17</v>
      </c>
      <c r="D11" t="s">
        <v>35</v>
      </c>
    </row>
    <row r="13" spans="3:4">
      <c r="C13" s="12" t="s">
        <v>13</v>
      </c>
      <c r="D13" t="s">
        <v>316</v>
      </c>
    </row>
    <row r="14" spans="3:4">
      <c r="C14" t="s">
        <v>29</v>
      </c>
      <c r="D14" s="16">
        <v>0</v>
      </c>
    </row>
    <row r="15" spans="3:4">
      <c r="C15" t="s">
        <v>34</v>
      </c>
      <c r="D15" s="16">
        <v>0</v>
      </c>
    </row>
    <row r="16" spans="3:4">
      <c r="C16" t="s">
        <v>25</v>
      </c>
      <c r="D16" s="16">
        <v>990</v>
      </c>
    </row>
    <row r="17" spans="3:6">
      <c r="C17" t="s">
        <v>314</v>
      </c>
      <c r="D17" s="16">
        <v>990</v>
      </c>
      <c r="F17" s="17">
        <f>GETPIVOTDATA("EA Play Season Pass
Price",$C$13)</f>
        <v>990</v>
      </c>
    </row>
    <row r="21" spans="3:6">
      <c r="C21" s="12" t="s">
        <v>17</v>
      </c>
      <c r="D21" t="s">
        <v>35</v>
      </c>
    </row>
    <row r="23" spans="3:6">
      <c r="C23" s="12" t="s">
        <v>13</v>
      </c>
      <c r="D23" t="s">
        <v>317</v>
      </c>
    </row>
    <row r="24" spans="3:6">
      <c r="C24" t="s">
        <v>29</v>
      </c>
      <c r="D24" s="16">
        <v>0</v>
      </c>
    </row>
    <row r="25" spans="3:6">
      <c r="C25" t="s">
        <v>34</v>
      </c>
      <c r="D25" s="16">
        <v>480</v>
      </c>
    </row>
    <row r="26" spans="3:6">
      <c r="C26" t="s">
        <v>25</v>
      </c>
      <c r="D26" s="16">
        <v>660</v>
      </c>
    </row>
    <row r="27" spans="3:6">
      <c r="C27" t="s">
        <v>314</v>
      </c>
      <c r="D27" s="16">
        <v>1140</v>
      </c>
      <c r="F27" s="17">
        <f>GETPIVOTDATA("Minecraft Season Pass Price",$C$23)</f>
        <v>1140</v>
      </c>
    </row>
    <row r="31" spans="3:6">
      <c r="C31" s="12" t="s">
        <v>17</v>
      </c>
      <c r="D31" t="s">
        <v>35</v>
      </c>
    </row>
    <row r="33" spans="3:4">
      <c r="C33" s="12" t="s">
        <v>13</v>
      </c>
      <c r="D33" t="s">
        <v>318</v>
      </c>
    </row>
    <row r="34" spans="3:4">
      <c r="C34" t="s">
        <v>29</v>
      </c>
      <c r="D34" s="16">
        <v>28</v>
      </c>
    </row>
    <row r="35" spans="3:4">
      <c r="C35" t="s">
        <v>34</v>
      </c>
      <c r="D35" s="16">
        <v>24</v>
      </c>
    </row>
    <row r="36" spans="3:4">
      <c r="C36" t="s">
        <v>25</v>
      </c>
      <c r="D36" s="16">
        <v>33</v>
      </c>
    </row>
    <row r="37" spans="3:4">
      <c r="C37" t="s">
        <v>314</v>
      </c>
      <c r="D37" s="16">
        <v>85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showGridLines="0" tabSelected="1" zoomScale="80" zoomScaleNormal="80" workbookViewId="0">
      <selection activeCell="A37" sqref="A37"/>
    </sheetView>
  </sheetViews>
  <sheetFormatPr defaultColWidth="9.125" defaultRowHeight="14.25"/>
  <cols>
    <col min="1" max="1" width="26.625" style="5" customWidth="1"/>
    <col min="2" max="2" width="3.625" style="7" customWidth="1"/>
    <col min="3" max="11" width="9.125" style="7"/>
    <col min="12" max="12" width="6.625" style="7" customWidth="1"/>
    <col min="13" max="16384" width="9.125" style="7"/>
  </cols>
  <sheetData>
    <row r="1" spans="1:17" customFormat="1">
      <c r="A1" s="5"/>
    </row>
    <row r="2" spans="1:17" customFormat="1" ht="39" customHeight="1">
      <c r="A2" s="5"/>
      <c r="C2" s="15" t="s">
        <v>315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customFormat="1" ht="39" customHeight="1">
      <c r="A3" s="5"/>
      <c r="C3" s="14"/>
    </row>
    <row r="4" spans="1:17" ht="8.25" customHeight="1"/>
    <row r="5" spans="1:17" ht="7.5" customHeight="1"/>
    <row r="6" spans="1:17" ht="10.5" customHeight="1"/>
    <row r="7" spans="1:17" ht="9.75" customHeight="1"/>
    <row r="8" spans="1:17" ht="33" customHeight="1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51b35d3-0456-4d6a-bc2f-da927e91d158"/>
    <ds:schemaRef ds:uri="19483571-f922-4e8e-9c1c-26f0a2252132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openxmlformats.org/package/2006/metadata/core-properties"/>
    <ds:schemaRef ds:uri="http://purl.org/dc/terms/"/>
    <ds:schemaRef ds:uri="19483571-f922-4e8e-9c1c-26f0a2252132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851b35d3-0456-4d6a-bc2f-da927e91d158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Planilha1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DELL</cp:lastModifiedBy>
  <cp:revision/>
  <dcterms:created xsi:type="dcterms:W3CDTF">2024-12-19T13:13:10Z</dcterms:created>
  <dcterms:modified xsi:type="dcterms:W3CDTF">2026-02-15T20:06:18Z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